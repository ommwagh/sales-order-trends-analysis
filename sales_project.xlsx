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mwag\OneDrive\Documents\"/>
    </mc:Choice>
  </mc:AlternateContent>
  <xr:revisionPtr revIDLastSave="0" documentId="8_{64F3C0BE-8E20-4DD7-BE24-BB41E2E8A10E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heet1" sheetId="1" r:id="rId1"/>
    <sheet name="Sheet2" sheetId="2" r:id="rId2"/>
    <sheet name="Sheet4" sheetId="4" r:id="rId3"/>
    <sheet name="Sheet5" sheetId="5" r:id="rId4"/>
    <sheet name="Sheet6" sheetId="6" r:id="rId5"/>
    <sheet name="Sheet7" sheetId="7" r:id="rId6"/>
  </sheet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2" i="1"/>
</calcChain>
</file>

<file path=xl/sharedStrings.xml><?xml version="1.0" encoding="utf-8"?>
<sst xmlns="http://schemas.openxmlformats.org/spreadsheetml/2006/main" count="7578" uniqueCount="3046">
  <si>
    <t>Row Labels</t>
  </si>
  <si>
    <t>Sum of Revenue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</si>
  <si>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</si>
  <si>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</si>
  <si>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</si>
  <si>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</si>
  <si>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</si>
  <si>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</si>
  <si>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</si>
  <si>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</si>
  <si>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</si>
  <si>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</si>
  <si>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</si>
  <si>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</si>
  <si>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</si>
  <si>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Grand Total</t>
  </si>
  <si>
    <t>Flower &amp; Chocolate</t>
  </si>
  <si>
    <t>Plant &amp; Mug</t>
  </si>
  <si>
    <t>Spa Gift Set</t>
  </si>
  <si>
    <t>Tulips</t>
  </si>
  <si>
    <t>Succulents</t>
  </si>
  <si>
    <t>Orchids</t>
  </si>
  <si>
    <t>Cacti</t>
  </si>
  <si>
    <t>Lilies</t>
  </si>
  <si>
    <t>Sunflowers</t>
  </si>
  <si>
    <t>Ferns</t>
  </si>
  <si>
    <t>Daisies</t>
  </si>
  <si>
    <t>Roses</t>
  </si>
  <si>
    <t>Flowers</t>
  </si>
  <si>
    <t>Gift Sets</t>
  </si>
  <si>
    <t>Plants</t>
  </si>
  <si>
    <t>Birmingham</t>
  </si>
  <si>
    <t>Leeds</t>
  </si>
  <si>
    <t>Manchester</t>
  </si>
  <si>
    <t>Liverpool</t>
  </si>
  <si>
    <t>London</t>
  </si>
  <si>
    <t>Order ID</t>
  </si>
  <si>
    <t>Product</t>
  </si>
  <si>
    <t>Category</t>
  </si>
  <si>
    <t>Quantity</t>
  </si>
  <si>
    <t>Price</t>
  </si>
  <si>
    <t>Month</t>
  </si>
  <si>
    <t>Revenue</t>
  </si>
  <si>
    <t>Order Date</t>
  </si>
  <si>
    <t>Region</t>
  </si>
  <si>
    <t>Customer ID</t>
  </si>
  <si>
    <t>ORD200000</t>
  </si>
  <si>
    <t>1a2d4c35-e1ca-4901-9361-ae8ae239c07d</t>
  </si>
  <si>
    <t>ORD200001</t>
  </si>
  <si>
    <t>a8e0d51b-8eec-4880-8c01-8006f28c9860</t>
  </si>
  <si>
    <t>ORD200002</t>
  </si>
  <si>
    <t>c86434a9-879a-4cff-915d-64827699c732</t>
  </si>
  <si>
    <t>ORD200003</t>
  </si>
  <si>
    <t>4deda31d-e916-4cb1-98ba-f1e6c2236cd4</t>
  </si>
  <si>
    <t>ORD200004</t>
  </si>
  <si>
    <t>0ab588e6-fdda-49df-83e2-b305456c0a97</t>
  </si>
  <si>
    <t>ORD200005</t>
  </si>
  <si>
    <t>4e8b26a0-b142-46b6-86f2-e43f696260a8</t>
  </si>
  <si>
    <t>ORD200006</t>
  </si>
  <si>
    <t>e30a76ba-fd98-462b-aabd-0647c49704da</t>
  </si>
  <si>
    <t>ORD200007</t>
  </si>
  <si>
    <t>74f7afbf-f462-4c66-a4df-136045d72c7c</t>
  </si>
  <si>
    <t>ORD200008</t>
  </si>
  <si>
    <t>f7c729c7-aec4-4f51-af6c-2bf1431241ef</t>
  </si>
  <si>
    <t>ORD200009</t>
  </si>
  <si>
    <t>399062b9-8c96-43f3-870d-d32cfe527c95</t>
  </si>
  <si>
    <t>ORD200010</t>
  </si>
  <si>
    <t>d8fb979d-8b16-4615-bae9-c7c503badabf</t>
  </si>
  <si>
    <t>ORD200011</t>
  </si>
  <si>
    <t>2af7e190-f3f3-4dea-96b2-04290f04436f</t>
  </si>
  <si>
    <t>ORD200012</t>
  </si>
  <si>
    <t>a3bc9f9a-77e1-4632-88e0-5de51fd53906</t>
  </si>
  <si>
    <t>ORD200013</t>
  </si>
  <si>
    <t>a13fdb5d-a400-49b2-bebd-9c295fabc44a</t>
  </si>
  <si>
    <t>ORD200014</t>
  </si>
  <si>
    <t>43605f9c-709e-4515-a35a-a68f4d71702e</t>
  </si>
  <si>
    <t>ORD200015</t>
  </si>
  <si>
    <t>91fcf7a3-17ba-4fb5-bf63-760006440511</t>
  </si>
  <si>
    <t>ORD200016</t>
  </si>
  <si>
    <t>0cb3cd53-7cb9-4b20-a70b-afa801e06cd2</t>
  </si>
  <si>
    <t>ORD200017</t>
  </si>
  <si>
    <t>aa5a834c-322f-43e6-a57d-7ed16901f1a9</t>
  </si>
  <si>
    <t>ORD200018</t>
  </si>
  <si>
    <t>afeb124a-8a82-4bfd-b2fd-e74a2ac0468b</t>
  </si>
  <si>
    <t>ORD200019</t>
  </si>
  <si>
    <t>2d1b2286-e025-4907-ae5c-a9e34e29ec0f</t>
  </si>
  <si>
    <t>ORD200020</t>
  </si>
  <si>
    <t>5eacb3a0-1e9b-48e6-a846-24c52c81d589</t>
  </si>
  <si>
    <t>ORD200021</t>
  </si>
  <si>
    <t>90251e06-5ff0-423f-a99e-ca1506efcda0</t>
  </si>
  <si>
    <t>ORD200022</t>
  </si>
  <si>
    <t>77127bcd-2af0-43f6-b751-aa8583e8d44b</t>
  </si>
  <si>
    <t>ORD200023</t>
  </si>
  <si>
    <t>99f32589-47e2-4508-ad43-03a0427313fb</t>
  </si>
  <si>
    <t>ORD200024</t>
  </si>
  <si>
    <t>c16d56ca-c2f3-49f2-9702-fa8b7a0d0b92</t>
  </si>
  <si>
    <t>ORD200025</t>
  </si>
  <si>
    <t>148c9c3f-00cc-4fec-8351-cb4b49a0355e</t>
  </si>
  <si>
    <t>ORD200026</t>
  </si>
  <si>
    <t>c30ea41c-d424-472d-b727-b0d88046e736</t>
  </si>
  <si>
    <t>ORD200027</t>
  </si>
  <si>
    <t>aec8180e-f8ca-4163-98e6-7d939a3d017f</t>
  </si>
  <si>
    <t>ORD200028</t>
  </si>
  <si>
    <t>1ef700b3-e14b-438f-b47d-188929deec5c</t>
  </si>
  <si>
    <t>ORD200029</t>
  </si>
  <si>
    <t>14bc5c50-9581-459f-9be5-58d8f371c242</t>
  </si>
  <si>
    <t>ORD200030</t>
  </si>
  <si>
    <t>ebc4ec86-2ca9-4ea6-8b0c-26bd27dbc8ef</t>
  </si>
  <si>
    <t>ORD200031</t>
  </si>
  <si>
    <t>e365b8de-77bc-48e2-9377-4b5ac707deb7</t>
  </si>
  <si>
    <t>ORD200032</t>
  </si>
  <si>
    <t>95d5f58a-f0e4-44fb-a7b7-f6ee6c3399f4</t>
  </si>
  <si>
    <t>ORD200033</t>
  </si>
  <si>
    <t>4da6e1d7-b4a6-42f0-9d2a-5886e132b7b9</t>
  </si>
  <si>
    <t>ORD200034</t>
  </si>
  <si>
    <t>8e3c4716-c047-4584-9cad-d7ed85d6df04</t>
  </si>
  <si>
    <t>ORD200035</t>
  </si>
  <si>
    <t>813a0baf-3156-4283-b949-adae481cc658</t>
  </si>
  <si>
    <t>ORD200036</t>
  </si>
  <si>
    <t>0cdd99c8-efa2-4668-b152-bac7979ac4ac</t>
  </si>
  <si>
    <t>ORD200037</t>
  </si>
  <si>
    <t>80dae54b-1982-45d9-8d18-e178cef54f4a</t>
  </si>
  <si>
    <t>ORD200038</t>
  </si>
  <si>
    <t>84d9f8b3-5629-4af2-89ef-52f59f044af3</t>
  </si>
  <si>
    <t>ORD200039</t>
  </si>
  <si>
    <t>06c0f2a3-fe42-4755-b600-16d569d89b0a</t>
  </si>
  <si>
    <t>ORD200040</t>
  </si>
  <si>
    <t>cba40cda-305e-4656-8b20-c539c0dd9834</t>
  </si>
  <si>
    <t>ORD200041</t>
  </si>
  <si>
    <t>adf8f75c-4449-47be-8097-24d1f10eedeb</t>
  </si>
  <si>
    <t>ORD200042</t>
  </si>
  <si>
    <t>ff67966d-beee-4116-b39a-b456bd5f3fdc</t>
  </si>
  <si>
    <t>ORD200043</t>
  </si>
  <si>
    <t>952a2c57-1120-450c-bfcb-a6210f4f998a</t>
  </si>
  <si>
    <t>ORD200044</t>
  </si>
  <si>
    <t>5c52cf24-4663-4874-85c4-6e421fafaa86</t>
  </si>
  <si>
    <t>ORD200045</t>
  </si>
  <si>
    <t>0926933a-bda3-454a-aebf-1297556efbfc</t>
  </si>
  <si>
    <t>ORD200046</t>
  </si>
  <si>
    <t>c9908c4e-7ef9-4965-9f1b-ea4cdda43ebb</t>
  </si>
  <si>
    <t>ORD200047</t>
  </si>
  <si>
    <t>a197ec56-dfba-442d-bded-013d350c7bc9</t>
  </si>
  <si>
    <t>ORD200048</t>
  </si>
  <si>
    <t>ad1703cb-64ea-4a1c-81d5-7be3bb0a96a2</t>
  </si>
  <si>
    <t>ORD200049</t>
  </si>
  <si>
    <t>83036fc2-c009-43c8-b52f-532fcea9784a</t>
  </si>
  <si>
    <t>ORD200050</t>
  </si>
  <si>
    <t>da4b0e94-a41e-4056-a321-a50919679aeb</t>
  </si>
  <si>
    <t>ORD200051</t>
  </si>
  <si>
    <t>6dce55a8-aec1-4089-b3cc-74c1dbca17a1</t>
  </si>
  <si>
    <t>ORD200052</t>
  </si>
  <si>
    <t>2f7993cb-fd71-47bc-be24-e679dc5e41a5</t>
  </si>
  <si>
    <t>ORD200053</t>
  </si>
  <si>
    <t>a46fb8e7-dfee-411f-bf85-00c31d1b932c</t>
  </si>
  <si>
    <t>ORD200054</t>
  </si>
  <si>
    <t>ac8e613f-fa6c-45eb-a90d-b661692eccc0</t>
  </si>
  <si>
    <t>ORD200055</t>
  </si>
  <si>
    <t>40a66c4c-df4b-456e-a909-9867aeff133c</t>
  </si>
  <si>
    <t>ORD200056</t>
  </si>
  <si>
    <t>85029b2f-4662-43e3-970a-3b5aeb5d5bac</t>
  </si>
  <si>
    <t>ORD200057</t>
  </si>
  <si>
    <t>ce82abac-4e8c-4557-8fd3-985d8f4e2746</t>
  </si>
  <si>
    <t>ORD200058</t>
  </si>
  <si>
    <t>974e2448-e799-4483-9b1c-47d6d6d6e547</t>
  </si>
  <si>
    <t>ORD200059</t>
  </si>
  <si>
    <t>775e40f4-1fcf-4a30-8370-5f27a900d0b7</t>
  </si>
  <si>
    <t>ORD200060</t>
  </si>
  <si>
    <t>3adcefc3-1bd9-4313-9eb8-2939030560f0</t>
  </si>
  <si>
    <t>ORD200061</t>
  </si>
  <si>
    <t>fe68616e-ea6b-44de-b042-b4a79e6d2164</t>
  </si>
  <si>
    <t>ORD200062</t>
  </si>
  <si>
    <t>9ac5a6e6-91f3-4d00-a101-72a7d668a4ce</t>
  </si>
  <si>
    <t>ORD200063</t>
  </si>
  <si>
    <t>11f28616-7092-4ebe-9076-904cea4f0072</t>
  </si>
  <si>
    <t>ORD200064</t>
  </si>
  <si>
    <t>17ee8a59-5ad1-4713-8110-b255352c1917</t>
  </si>
  <si>
    <t>ORD200065</t>
  </si>
  <si>
    <t>7c2f4edc-5642-4fe3-a18d-2983bc9cadbc</t>
  </si>
  <si>
    <t>ORD200066</t>
  </si>
  <si>
    <t>bb48f5ca-df69-4f16-99ac-f19f988d05cb</t>
  </si>
  <si>
    <t>ORD200067</t>
  </si>
  <si>
    <t>4b022e99-907c-4bca-88a9-37ee9a5f6d96</t>
  </si>
  <si>
    <t>ORD200068</t>
  </si>
  <si>
    <t>db1bcddd-c53a-47f1-b2f5-0514a5f45407</t>
  </si>
  <si>
    <t>ORD200069</t>
  </si>
  <si>
    <t>71000ce8-1467-41ac-bcb4-f86c3c3d2736</t>
  </si>
  <si>
    <t>ORD200070</t>
  </si>
  <si>
    <t>bf222594-2832-40b8-ab32-f71d4e77d945</t>
  </si>
  <si>
    <t>ORD200071</t>
  </si>
  <si>
    <t>ea781040-800b-4415-82ca-831785c80754</t>
  </si>
  <si>
    <t>ORD200072</t>
  </si>
  <si>
    <t>e5d1170c-2a5a-4879-9879-ddb37bced9fe</t>
  </si>
  <si>
    <t>ORD200073</t>
  </si>
  <si>
    <t>db448a81-d7bf-470b-a5d2-d474057d1258</t>
  </si>
  <si>
    <t>ORD200074</t>
  </si>
  <si>
    <t>444abaa1-d6c7-47ee-9474-7c5a8ce7d5fd</t>
  </si>
  <si>
    <t>ORD200075</t>
  </si>
  <si>
    <t>d61df108-712a-4c57-9872-124cf3677618</t>
  </si>
  <si>
    <t>ORD200076</t>
  </si>
  <si>
    <t>f78981e8-5c1b-4279-adec-7be770940879</t>
  </si>
  <si>
    <t>ORD200077</t>
  </si>
  <si>
    <t>5df4f6af-e28d-4bc9-bac1-282c6046933b</t>
  </si>
  <si>
    <t>ORD200078</t>
  </si>
  <si>
    <t>c8d3c268-a35c-482c-b082-e845a5ac4e22</t>
  </si>
  <si>
    <t>ORD200079</t>
  </si>
  <si>
    <t>6741a7e9-8434-4df7-90dd-1a9292b2d968</t>
  </si>
  <si>
    <t>ORD200080</t>
  </si>
  <si>
    <t>2d2452b0-5877-45a1-ae26-1fda7619570a</t>
  </si>
  <si>
    <t>ORD200081</t>
  </si>
  <si>
    <t>225c8f1c-46e4-43a3-8489-0a674612efb6</t>
  </si>
  <si>
    <t>ORD200082</t>
  </si>
  <si>
    <t>aa2dd0d8-9c1d-4f84-b1e8-0d4f92421736</t>
  </si>
  <si>
    <t>ORD200083</t>
  </si>
  <si>
    <t>f90a8142-2817-483d-9afd-882e1417ea7d</t>
  </si>
  <si>
    <t>ORD200084</t>
  </si>
  <si>
    <t>0825f511-b6c9-4aa2-ad71-ed4d58b11fe0</t>
  </si>
  <si>
    <t>ORD200085</t>
  </si>
  <si>
    <t>66706cce-31d0-46ee-bccb-4972a189c0a7</t>
  </si>
  <si>
    <t>ORD200086</t>
  </si>
  <si>
    <t>aacb88ec-0923-4273-9dee-38a2e8f2afda</t>
  </si>
  <si>
    <t>ORD200087</t>
  </si>
  <si>
    <t>b6f2f902-1924-4fb9-a96f-ebb039a67abe</t>
  </si>
  <si>
    <t>ORD200088</t>
  </si>
  <si>
    <t>563c2f7f-c93f-4457-b867-bf66ce253517</t>
  </si>
  <si>
    <t>ORD200089</t>
  </si>
  <si>
    <t>17ed2325-611a-4f46-9ae6-255b7685c4a9</t>
  </si>
  <si>
    <t>ORD200090</t>
  </si>
  <si>
    <t>a602233a-d7e8-45c7-af96-d94cdf7fdf5b</t>
  </si>
  <si>
    <t>ORD200091</t>
  </si>
  <si>
    <t>5d3ec637-097f-4916-9567-4f99111c4964</t>
  </si>
  <si>
    <t>ORD200092</t>
  </si>
  <si>
    <t>89dfce47-7487-4463-ac14-c3a8347ba8cd</t>
  </si>
  <si>
    <t>ORD200093</t>
  </si>
  <si>
    <t>1fbb73e0-e334-4f7a-9703-b925c3ac215e</t>
  </si>
  <si>
    <t>ORD200094</t>
  </si>
  <si>
    <t>ca25fbbf-4961-42d8-bf30-b09dedacb90a</t>
  </si>
  <si>
    <t>ORD200095</t>
  </si>
  <si>
    <t>b9227ea8-a35e-42a8-ac58-5360d88c5253</t>
  </si>
  <si>
    <t>ORD200096</t>
  </si>
  <si>
    <t>be5216be-f8d4-462a-9231-5c1e346b0168</t>
  </si>
  <si>
    <t>ORD200097</t>
  </si>
  <si>
    <t>fc7a025f-24f2-4dfb-981e-4685c66f2df8</t>
  </si>
  <si>
    <t>ORD200098</t>
  </si>
  <si>
    <t>0ebf1172-331b-4e99-8746-e5b7f2752de1</t>
  </si>
  <si>
    <t>ORD200099</t>
  </si>
  <si>
    <t>0dccbf8c-602e-4f0a-a922-d877dba798b0</t>
  </si>
  <si>
    <t>ORD200100</t>
  </si>
  <si>
    <t>c194005b-321c-4a0d-9a19-eda13e95244f</t>
  </si>
  <si>
    <t>ORD200101</t>
  </si>
  <si>
    <t>23d0acb8-f6a9-4067-ab6c-5093232133eb</t>
  </si>
  <si>
    <t>ORD200102</t>
  </si>
  <si>
    <t>8bb571b5-e624-4ab8-af16-97b640a31a33</t>
  </si>
  <si>
    <t>ORD200103</t>
  </si>
  <si>
    <t>46ed4a27-623f-432d-b68a-fc60e3890914</t>
  </si>
  <si>
    <t>ORD200104</t>
  </si>
  <si>
    <t>c3c41ed2-5c0c-4b03-87ab-d2e7bda3a21f</t>
  </si>
  <si>
    <t>ORD200105</t>
  </si>
  <si>
    <t>07ce62e0-46b8-4b92-9237-b2916f2f45b5</t>
  </si>
  <si>
    <t>ORD200106</t>
  </si>
  <si>
    <t>9a95cedb-f186-4f3c-8e97-a399e8d8bb47</t>
  </si>
  <si>
    <t>ORD200107</t>
  </si>
  <si>
    <t>b569fa26-6bae-4d37-8153-60ec1f57351c</t>
  </si>
  <si>
    <t>ORD200108</t>
  </si>
  <si>
    <t>9613306a-fb22-4c6a-abf4-07d92156dd79</t>
  </si>
  <si>
    <t>ORD200109</t>
  </si>
  <si>
    <t>b5a9d932-7ff8-4f23-9a9e-dcf4ac87d34e</t>
  </si>
  <si>
    <t>ORD200110</t>
  </si>
  <si>
    <t>b32b09ad-930e-4786-a882-f2de7770d18e</t>
  </si>
  <si>
    <t>ORD200111</t>
  </si>
  <si>
    <t>f7667d96-b92b-4085-9cfd-64afe3cc37e8</t>
  </si>
  <si>
    <t>ORD200112</t>
  </si>
  <si>
    <t>4a333398-3f05-49ab-b3b8-91ff28da159a</t>
  </si>
  <si>
    <t>ORD200113</t>
  </si>
  <si>
    <t>bfe6db05-9969-4f26-9c3f-ead1eaf78855</t>
  </si>
  <si>
    <t>ORD200114</t>
  </si>
  <si>
    <t>11dabdc9-8dbe-4567-84ad-c3242747a660</t>
  </si>
  <si>
    <t>ORD200115</t>
  </si>
  <si>
    <t>a85dd67e-dd62-469d-a792-9460680f7f49</t>
  </si>
  <si>
    <t>ORD200116</t>
  </si>
  <si>
    <t>0c2c8e4c-1b3a-4b77-b85f-efcdd34f219a</t>
  </si>
  <si>
    <t>ORD200117</t>
  </si>
  <si>
    <t>852bf0c1-7a71-43c9-b40d-c85c8b918ad6</t>
  </si>
  <si>
    <t>ORD200118</t>
  </si>
  <si>
    <t>5c42e384-cb68-4215-974d-f5cb0c75d409</t>
  </si>
  <si>
    <t>ORD200119</t>
  </si>
  <si>
    <t>0d36faa9-daa8-4cba-bffa-894c1b031332</t>
  </si>
  <si>
    <t>ORD200120</t>
  </si>
  <si>
    <t>24fe20ac-47c8-443c-bfeb-9fb041b290a8</t>
  </si>
  <si>
    <t>ORD200121</t>
  </si>
  <si>
    <t>530a6330-de0e-4da2-aa3a-bec99401de9e</t>
  </si>
  <si>
    <t>ORD200122</t>
  </si>
  <si>
    <t>fa072e13-ab30-4aad-bb38-27340e0e5378</t>
  </si>
  <si>
    <t>ORD200123</t>
  </si>
  <si>
    <t>2e3a85ae-37f8-4f78-a8b0-862d684fbec5</t>
  </si>
  <si>
    <t>ORD200124</t>
  </si>
  <si>
    <t>cdfc87e7-8f73-4ae8-8d07-c6a7167bed76</t>
  </si>
  <si>
    <t>ORD200125</t>
  </si>
  <si>
    <t>ab7b7750-f276-4f24-801a-64e79953a8a4</t>
  </si>
  <si>
    <t>ORD200126</t>
  </si>
  <si>
    <t>5fa46945-6b76-41f4-b791-f35a31642a33</t>
  </si>
  <si>
    <t>ORD200127</t>
  </si>
  <si>
    <t>b20a6a20-a7c1-4771-a705-dbf59b2c13e4</t>
  </si>
  <si>
    <t>ORD200128</t>
  </si>
  <si>
    <t>b11ae937-3838-433e-814e-47a21598ec1b</t>
  </si>
  <si>
    <t>ORD200129</t>
  </si>
  <si>
    <t>f4ce6301-b541-4e58-8519-f4408633f2cd</t>
  </si>
  <si>
    <t>ORD200130</t>
  </si>
  <si>
    <t>1e5bfab7-94ff-4178-a7f9-5c47916401a2</t>
  </si>
  <si>
    <t>ORD200131</t>
  </si>
  <si>
    <t>402406d4-59e3-4051-8d04-f0766bc60943</t>
  </si>
  <si>
    <t>ORD200132</t>
  </si>
  <si>
    <t>77dcab15-abe2-45f7-b6e5-7c73478e0a4b</t>
  </si>
  <si>
    <t>ORD200133</t>
  </si>
  <si>
    <t>9e012a14-86bf-4a86-a44e-72ef2c77f96f</t>
  </si>
  <si>
    <t>ORD200134</t>
  </si>
  <si>
    <t>a1f22a9a-1f57-482b-bd4c-9018f706d342</t>
  </si>
  <si>
    <t>ORD200135</t>
  </si>
  <si>
    <t>37fdc0df-7fff-4148-8e22-5019ffe91ae7</t>
  </si>
  <si>
    <t>ORD200136</t>
  </si>
  <si>
    <t>26d7eb31-6c11-4378-8745-cae46aadebee</t>
  </si>
  <si>
    <t>ORD200137</t>
  </si>
  <si>
    <t>ec2d0c57-2649-4938-969b-1d1a760b10b4</t>
  </si>
  <si>
    <t>ORD200138</t>
  </si>
  <si>
    <t>784f6324-bd63-4b21-9c37-401ea806b49c</t>
  </si>
  <si>
    <t>ORD200139</t>
  </si>
  <si>
    <t>2dcb93f6-66d8-4fb2-8c96-1432d0b4e228</t>
  </si>
  <si>
    <t>ORD200140</t>
  </si>
  <si>
    <t>dfb99595-afd3-41ce-bae6-da09743d51f0</t>
  </si>
  <si>
    <t>ORD200141</t>
  </si>
  <si>
    <t>af373d8c-d383-4756-ad92-4f27d86720b1</t>
  </si>
  <si>
    <t>ORD200142</t>
  </si>
  <si>
    <t>75ffa1dc-e0e3-42a7-9dba-e04d92f53bbc</t>
  </si>
  <si>
    <t>ORD200143</t>
  </si>
  <si>
    <t>f75d65d1-cc06-4279-9806-b5f6e833065a</t>
  </si>
  <si>
    <t>ORD200144</t>
  </si>
  <si>
    <t>7b6c547a-de8f-4e4a-90d0-96d1134c7360</t>
  </si>
  <si>
    <t>ORD200145</t>
  </si>
  <si>
    <t>b2914039-8f0d-4e07-b307-44e9c0f2706d</t>
  </si>
  <si>
    <t>ORD200146</t>
  </si>
  <si>
    <t>a4cf4fe9-25a7-403d-bd38-04e4b47af516</t>
  </si>
  <si>
    <t>ORD200147</t>
  </si>
  <si>
    <t>73d32633-0a8e-4bea-bf2c-29498809ca98</t>
  </si>
  <si>
    <t>ORD200148</t>
  </si>
  <si>
    <t>36dfa7f4-b3bf-492f-adb7-09cf80798ffb</t>
  </si>
  <si>
    <t>ORD200149</t>
  </si>
  <si>
    <t>f804d827-497c-40f6-9aa4-90d15242e8ef</t>
  </si>
  <si>
    <t>ORD200150</t>
  </si>
  <si>
    <t>da781d09-2acb-4063-b02e-ab735e9d71a0</t>
  </si>
  <si>
    <t>ORD200151</t>
  </si>
  <si>
    <t>ff09b3f7-9ecb-4e84-8f1e-74f8e9cbb735</t>
  </si>
  <si>
    <t>ORD200152</t>
  </si>
  <si>
    <t>8b1fc890-de5f-41a6-851f-1abf367b8907</t>
  </si>
  <si>
    <t>ORD200153</t>
  </si>
  <si>
    <t>4911b161-cad7-4cff-ab99-ca80debed87f</t>
  </si>
  <si>
    <t>ORD200154</t>
  </si>
  <si>
    <t>dc0a518a-2170-4633-8ed4-1d5317621437</t>
  </si>
  <si>
    <t>ORD200155</t>
  </si>
  <si>
    <t>957abef7-9507-411f-be61-1ac547cf0759</t>
  </si>
  <si>
    <t>ORD200156</t>
  </si>
  <si>
    <t>549b7c6d-07bd-45cf-b627-56f155f42eeb</t>
  </si>
  <si>
    <t>ORD200157</t>
  </si>
  <si>
    <t>5f62e4b1-8619-43a0-b8a3-94b6de7844ba</t>
  </si>
  <si>
    <t>ORD200158</t>
  </si>
  <si>
    <t>c7b25590-c6de-4aa3-9dda-98770c683931</t>
  </si>
  <si>
    <t>ORD200159</t>
  </si>
  <si>
    <t>d69badff-c4bd-468d-bfad-1fe99e547d4b</t>
  </si>
  <si>
    <t>ORD200160</t>
  </si>
  <si>
    <t>e423604e-8ac5-4cc8-a1ed-d5848469392f</t>
  </si>
  <si>
    <t>ORD200161</t>
  </si>
  <si>
    <t>bb89b7a3-4841-4632-bde1-fac2429d34e2</t>
  </si>
  <si>
    <t>ORD200162</t>
  </si>
  <si>
    <t>4b36b831-1242-49f6-8c77-e4c7d2530cfc</t>
  </si>
  <si>
    <t>ORD200163</t>
  </si>
  <si>
    <t>b1818bb5-2b36-4b72-86e5-1292bcb0f2b2</t>
  </si>
  <si>
    <t>ORD200164</t>
  </si>
  <si>
    <t>7eff8b53-67d8-4c58-a5e4-2cd53c32a268</t>
  </si>
  <si>
    <t>ORD200165</t>
  </si>
  <si>
    <t>b2f48dba-327b-4f17-8e13-1984402bf599</t>
  </si>
  <si>
    <t>ORD200166</t>
  </si>
  <si>
    <t>cc0c23cf-cb8b-4be2-9778-06221f12b1a1</t>
  </si>
  <si>
    <t>ORD200167</t>
  </si>
  <si>
    <t>ae40a732-f364-4021-bab5-0daa537a9da2</t>
  </si>
  <si>
    <t>ORD200168</t>
  </si>
  <si>
    <t>9f186cf3-f91a-4dba-8c26-0deacab21392</t>
  </si>
  <si>
    <t>ORD200169</t>
  </si>
  <si>
    <t>16848f39-e150-4449-97f6-6a07a728c9d1</t>
  </si>
  <si>
    <t>ORD200170</t>
  </si>
  <si>
    <t>615d95a6-7745-4f8f-a16f-4c77c1bb5395</t>
  </si>
  <si>
    <t>ORD200171</t>
  </si>
  <si>
    <t>0c0aadd4-e729-4c9b-948d-4ac6912dfbe1</t>
  </si>
  <si>
    <t>ORD200172</t>
  </si>
  <si>
    <t>7b4a7366-72e3-4a2e-ba47-34d3f5f77b4c</t>
  </si>
  <si>
    <t>ORD200173</t>
  </si>
  <si>
    <t>64206eae-c748-49b1-b38e-4facda802d3d</t>
  </si>
  <si>
    <t>ORD200174</t>
  </si>
  <si>
    <t>38e5b2e6-45ff-4565-8d9f-7fdc9f647a3c</t>
  </si>
  <si>
    <t>ORD200175</t>
  </si>
  <si>
    <t>73ce3b5c-f975-4e29-973b-44066dd1421f</t>
  </si>
  <si>
    <t>ORD200176</t>
  </si>
  <si>
    <t>7db4882d-9287-4ac9-9ee0-5741bdf976ef</t>
  </si>
  <si>
    <t>ORD200177</t>
  </si>
  <si>
    <t>777e4510-a3bf-4dbb-aef7-991b38d0d2c7</t>
  </si>
  <si>
    <t>ORD200178</t>
  </si>
  <si>
    <t>95ee8df3-0b94-431a-ad04-dd4525a602c6</t>
  </si>
  <si>
    <t>ORD200179</t>
  </si>
  <si>
    <t>ccc2ac67-64cc-4052-807d-ce069ab04267</t>
  </si>
  <si>
    <t>ORD200180</t>
  </si>
  <si>
    <t>1aeeb048-2927-4628-b252-1b3591dbb712</t>
  </si>
  <si>
    <t>ORD200181</t>
  </si>
  <si>
    <t>7a999a05-9e02-4fdf-a872-b90754f078d5</t>
  </si>
  <si>
    <t>ORD200182</t>
  </si>
  <si>
    <t>b1d930ad-d431-472d-956d-66f0373fe3e6</t>
  </si>
  <si>
    <t>ORD200183</t>
  </si>
  <si>
    <t>c32b5e30-25fd-430d-9c32-7a84de977107</t>
  </si>
  <si>
    <t>ORD200184</t>
  </si>
  <si>
    <t>0ef0e547-3327-4d25-b7cb-f3dd38463b6e</t>
  </si>
  <si>
    <t>ORD200185</t>
  </si>
  <si>
    <t>b47a7a93-020b-448c-a39d-386876292862</t>
  </si>
  <si>
    <t>ORD200186</t>
  </si>
  <si>
    <t>388f54aa-4e49-4b5b-acb3-86ab02daca0f</t>
  </si>
  <si>
    <t>ORD200187</t>
  </si>
  <si>
    <t>7ad42532-7e98-4344-a397-0a2df4b9b694</t>
  </si>
  <si>
    <t>ORD200188</t>
  </si>
  <si>
    <t>300fd858-2e04-4daa-8f6c-245a2c3d5779</t>
  </si>
  <si>
    <t>ORD200189</t>
  </si>
  <si>
    <t>d6a551ea-e55d-4e23-a890-c3ce76db1a9a</t>
  </si>
  <si>
    <t>ORD200190</t>
  </si>
  <si>
    <t>77fa79db-952b-4ed2-b9ae-af81bfce70a5</t>
  </si>
  <si>
    <t>ORD200191</t>
  </si>
  <si>
    <t>c3d435cd-ea52-408b-ad8c-6b3f0efd000a</t>
  </si>
  <si>
    <t>ORD200192</t>
  </si>
  <si>
    <t>dba86414-bcd4-42aa-b394-fc9202d0f1e5</t>
  </si>
  <si>
    <t>ORD200193</t>
  </si>
  <si>
    <t>ff489db4-c91f-4f3d-937c-b93f12b49307</t>
  </si>
  <si>
    <t>ORD200194</t>
  </si>
  <si>
    <t>9950703e-1b5a-4c08-91cc-ba2c2c8d9258</t>
  </si>
  <si>
    <t>ORD200195</t>
  </si>
  <si>
    <t>103ff382-9343-44ae-8dc9-fa29cc2034f1</t>
  </si>
  <si>
    <t>ORD200196</t>
  </si>
  <si>
    <t>54ad8c49-024f-4bce-9af2-7091251221eb</t>
  </si>
  <si>
    <t>ORD200197</t>
  </si>
  <si>
    <t>f8bf754b-0a3f-4665-84e6-2155bf87a962</t>
  </si>
  <si>
    <t>ORD200198</t>
  </si>
  <si>
    <t>747b2e3a-8684-4b73-9747-007107c12deb</t>
  </si>
  <si>
    <t>ORD200199</t>
  </si>
  <si>
    <t>825fb337-5ffd-4a92-984a-6d2f6b996dec</t>
  </si>
  <si>
    <t>ORD200200</t>
  </si>
  <si>
    <t>e128316a-1ec2-4fae-b313-1503883d2fe8</t>
  </si>
  <si>
    <t>ORD200201</t>
  </si>
  <si>
    <t>d456052d-6a94-4134-bf23-46f95c9ea017</t>
  </si>
  <si>
    <t>ORD200202</t>
  </si>
  <si>
    <t>9c0b3186-e0ac-466a-838a-6fc21248eaff</t>
  </si>
  <si>
    <t>ORD200203</t>
  </si>
  <si>
    <t>68b963cd-1f77-4a97-ae8a-8bd7f58d906a</t>
  </si>
  <si>
    <t>ORD200204</t>
  </si>
  <si>
    <t>0a0f7096-7ca3-4028-bc8d-f330fd3634cd</t>
  </si>
  <si>
    <t>ORD200205</t>
  </si>
  <si>
    <t>a6b0e243-781b-460d-8e64-b275b5247490</t>
  </si>
  <si>
    <t>ORD200206</t>
  </si>
  <si>
    <t>47ac1385-0cea-489f-afd5-89b48ca1e6b9</t>
  </si>
  <si>
    <t>ORD200207</t>
  </si>
  <si>
    <t>9a08bc1c-b569-4560-ad32-e508a596ae84</t>
  </si>
  <si>
    <t>ORD200208</t>
  </si>
  <si>
    <t>37165be9-0515-4173-9dd6-677ab00a43c5</t>
  </si>
  <si>
    <t>ORD200209</t>
  </si>
  <si>
    <t>eef1bfe9-b1b5-43c4-a801-76438e082222</t>
  </si>
  <si>
    <t>ORD200210</t>
  </si>
  <si>
    <t>4cff9e51-b056-4a77-99f7-318f4bead144</t>
  </si>
  <si>
    <t>ORD200211</t>
  </si>
  <si>
    <t>9025fede-68d2-4bce-8b40-d8e166fe3242</t>
  </si>
  <si>
    <t>ORD200212</t>
  </si>
  <si>
    <t>e969d38f-9708-4a9c-bdfa-aeddef5a15c7</t>
  </si>
  <si>
    <t>ORD200213</t>
  </si>
  <si>
    <t>aedf0c6a-0be6-43fd-8359-c7c5f74ccb3f</t>
  </si>
  <si>
    <t>ORD200214</t>
  </si>
  <si>
    <t>25288693-8ebe-4182-94c6-18e55cb61432</t>
  </si>
  <si>
    <t>ORD200215</t>
  </si>
  <si>
    <t>bc4d3cdc-e040-4f74-a7f3-14c92214e4b9</t>
  </si>
  <si>
    <t>ORD200216</t>
  </si>
  <si>
    <t>ffa56c2a-525f-443d-99e7-6720db09d102</t>
  </si>
  <si>
    <t>ORD200217</t>
  </si>
  <si>
    <t>e913d6e2-f8a7-405c-a473-1147d8039264</t>
  </si>
  <si>
    <t>ORD200218</t>
  </si>
  <si>
    <t>e5d6842d-ad9e-47cd-a02f-1597d68d81e3</t>
  </si>
  <si>
    <t>ORD200219</t>
  </si>
  <si>
    <t>e82bf8ba-26b0-4fac-9f50-1a36f7f08c4e</t>
  </si>
  <si>
    <t>ORD200220</t>
  </si>
  <si>
    <t>7630f565-e43b-44c3-86b0-1c49d2c6879b</t>
  </si>
  <si>
    <t>ORD200221</t>
  </si>
  <si>
    <t>86c2f89e-2f15-4202-abb0-53f2d08d2436</t>
  </si>
  <si>
    <t>ORD200222</t>
  </si>
  <si>
    <t>ca209464-096e-4ad0-bb7b-8578955ffce4</t>
  </si>
  <si>
    <t>ORD200223</t>
  </si>
  <si>
    <t>e6ded2f6-2d1b-41e6-a992-c9ced1820937</t>
  </si>
  <si>
    <t>ORD200224</t>
  </si>
  <si>
    <t>dbb2af8e-b923-4ba7-942c-0f6c40e5ffaa</t>
  </si>
  <si>
    <t>ORD200225</t>
  </si>
  <si>
    <t>6502fd7e-0c3f-4d27-843b-88a1f1c3c43a</t>
  </si>
  <si>
    <t>ORD200226</t>
  </si>
  <si>
    <t>6589b543-3d05-40be-bac6-e2f6956e8540</t>
  </si>
  <si>
    <t>ORD200227</t>
  </si>
  <si>
    <t>ca63eff4-ae81-43f7-9932-8690f2149572</t>
  </si>
  <si>
    <t>ORD200228</t>
  </si>
  <si>
    <t>0618aff4-aee4-4e53-8f72-537304aac259</t>
  </si>
  <si>
    <t>ORD200229</t>
  </si>
  <si>
    <t>0b72d323-46c6-462d-a222-23258b1c1605</t>
  </si>
  <si>
    <t>ORD200230</t>
  </si>
  <si>
    <t>fa6dd65e-adc3-45cf-b0d6-88b92968c13f</t>
  </si>
  <si>
    <t>ORD200231</t>
  </si>
  <si>
    <t>1d9e4122-91ba-4b36-9850-4a0905b59eb7</t>
  </si>
  <si>
    <t>ORD200232</t>
  </si>
  <si>
    <t>7e304b08-bef7-43de-9022-264adfe86b7c</t>
  </si>
  <si>
    <t>ORD200233</t>
  </si>
  <si>
    <t>269943f8-2002-4b29-8fa1-c4b52eb5d51a</t>
  </si>
  <si>
    <t>ORD200234</t>
  </si>
  <si>
    <t>0b7c0692-ec3d-4ba7-90d2-0094f8800abd</t>
  </si>
  <si>
    <t>ORD200235</t>
  </si>
  <si>
    <t>a39fc86a-46e7-4f24-88e8-99382f494bc4</t>
  </si>
  <si>
    <t>ORD200236</t>
  </si>
  <si>
    <t>97b31058-0ff9-495c-a262-b527422d2d32</t>
  </si>
  <si>
    <t>ORD200237</t>
  </si>
  <si>
    <t>b52030f2-9717-457a-a886-3e84710dc700</t>
  </si>
  <si>
    <t>ORD200238</t>
  </si>
  <si>
    <t>f61dad5b-b9e9-4330-baf1-2f2b4a93ec65</t>
  </si>
  <si>
    <t>ORD200239</t>
  </si>
  <si>
    <t>0afcb1fb-1e69-4188-8eb6-8490321db424</t>
  </si>
  <si>
    <t>ORD200240</t>
  </si>
  <si>
    <t>150e0057-7b0d-4fb5-a412-11b748ae88eb</t>
  </si>
  <si>
    <t>ORD200241</t>
  </si>
  <si>
    <t>ea893c39-e303-455b-990e-db2b7ba1beae</t>
  </si>
  <si>
    <t>ORD200242</t>
  </si>
  <si>
    <t>dff4d2ef-ce65-45f2-afe9-9e60ecc46812</t>
  </si>
  <si>
    <t>ORD200243</t>
  </si>
  <si>
    <t>bb41d6ec-7433-405a-a2dd-18865c4bffe9</t>
  </si>
  <si>
    <t>ORD200244</t>
  </si>
  <si>
    <t>5ada330d-85f4-4b82-8c9b-b0c88151a7e3</t>
  </si>
  <si>
    <t>ORD200245</t>
  </si>
  <si>
    <t>7970197b-bf8c-4d57-a631-14278fef450b</t>
  </si>
  <si>
    <t>ORD200246</t>
  </si>
  <si>
    <t>430201c7-9152-49ca-97bc-37c537cba50c</t>
  </si>
  <si>
    <t>ORD200247</t>
  </si>
  <si>
    <t>8a9b7273-e5d1-49ed-8089-0b17ff20e60b</t>
  </si>
  <si>
    <t>ORD200248</t>
  </si>
  <si>
    <t>122bb041-8985-4d41-8464-e26e4a0ada81</t>
  </si>
  <si>
    <t>ORD200249</t>
  </si>
  <si>
    <t>d3cd0f60-8dac-4a12-a41b-3a827901c44c</t>
  </si>
  <si>
    <t>ORD200250</t>
  </si>
  <si>
    <t>d7d782b6-54b2-4b18-b38f-59d9a5d29f7c</t>
  </si>
  <si>
    <t>ORD200251</t>
  </si>
  <si>
    <t>cddbae36-b7f6-4eae-a595-360d06b7ae49</t>
  </si>
  <si>
    <t>ORD200252</t>
  </si>
  <si>
    <t>2268438d-33dc-4f6f-84c1-fdc8e3bf417d</t>
  </si>
  <si>
    <t>ORD200253</t>
  </si>
  <si>
    <t>022786fd-a59d-4bac-a460-3caf058abac7</t>
  </si>
  <si>
    <t>ORD200254</t>
  </si>
  <si>
    <t>eda4f41e-614d-4f19-acd8-ee7a5c2bb19c</t>
  </si>
  <si>
    <t>ORD200255</t>
  </si>
  <si>
    <t>83a9ba95-77d2-4d6f-b584-f93a22acac9d</t>
  </si>
  <si>
    <t>ORD200256</t>
  </si>
  <si>
    <t>34f7f58b-6cd8-4d09-a21c-03660e25ece7</t>
  </si>
  <si>
    <t>ORD200257</t>
  </si>
  <si>
    <t>ba113879-db76-4992-ad02-61b109bf1e8c</t>
  </si>
  <si>
    <t>ORD200258</t>
  </si>
  <si>
    <t>a966f406-2998-47f2-8225-5389005603dd</t>
  </si>
  <si>
    <t>ORD200259</t>
  </si>
  <si>
    <t>46ab07d8-72cd-47b0-ab41-31c08e9891ae</t>
  </si>
  <si>
    <t>ORD200260</t>
  </si>
  <si>
    <t>29e1660e-ad9e-481c-93f4-92fe0069c5e0</t>
  </si>
  <si>
    <t>ORD200261</t>
  </si>
  <si>
    <t>ff7c5afe-242c-4e57-a147-2206f5333f51</t>
  </si>
  <si>
    <t>ORD200262</t>
  </si>
  <si>
    <t>7b3d8733-4012-471d-94fa-4c92e7824d12</t>
  </si>
  <si>
    <t>ORD200263</t>
  </si>
  <si>
    <t>af1b5af8-cab2-4335-b31f-e4c554d8232b</t>
  </si>
  <si>
    <t>ORD200264</t>
  </si>
  <si>
    <t>f3a296d8-1267-4839-b2af-9009a8c393e6</t>
  </si>
  <si>
    <t>ORD200265</t>
  </si>
  <si>
    <t>fec64cb8-faf6-46bd-817b-000f247f28f9</t>
  </si>
  <si>
    <t>ORD200266</t>
  </si>
  <si>
    <t>f5cd48c9-2d2a-4125-ad34-d14f9087319d</t>
  </si>
  <si>
    <t>ORD200267</t>
  </si>
  <si>
    <t>2ebf93cd-ff8d-436a-84b7-34a166adfb91</t>
  </si>
  <si>
    <t>ORD200268</t>
  </si>
  <si>
    <t>dab1f9c9-1fb1-48b1-bb30-ac83b1aaec93</t>
  </si>
  <si>
    <t>ORD200269</t>
  </si>
  <si>
    <t>08616f6c-e017-46ae-b58b-5b82382204c4</t>
  </si>
  <si>
    <t>ORD200270</t>
  </si>
  <si>
    <t>5e61f6a2-8ef5-457f-81b9-fa6e69f1d8e1</t>
  </si>
  <si>
    <t>ORD200271</t>
  </si>
  <si>
    <t>f3232a10-08bb-4eca-aa09-9c4412943eb3</t>
  </si>
  <si>
    <t>ORD200272</t>
  </si>
  <si>
    <t>ad38c15e-9420-41a4-b1d4-34c4e510b81c</t>
  </si>
  <si>
    <t>ORD200273</t>
  </si>
  <si>
    <t>4593cec3-1ce0-4cfe-bcff-61366f1b00b9</t>
  </si>
  <si>
    <t>ORD200274</t>
  </si>
  <si>
    <t>df67a0a9-1bb7-4501-aac5-082af1763543</t>
  </si>
  <si>
    <t>ORD200275</t>
  </si>
  <si>
    <t>712f09d2-c3ce-4859-ad4b-abb9d7065f84</t>
  </si>
  <si>
    <t>ORD200276</t>
  </si>
  <si>
    <t>74813645-56b2-4715-be35-5aeaabd23afa</t>
  </si>
  <si>
    <t>ORD200277</t>
  </si>
  <si>
    <t>9b7e0277-45ce-4baa-919e-3cfa4fc398bf</t>
  </si>
  <si>
    <t>ORD200278</t>
  </si>
  <si>
    <t>20a53671-10aa-4484-9232-e0720c521277</t>
  </si>
  <si>
    <t>ORD200279</t>
  </si>
  <si>
    <t>70a23842-e200-4435-86db-c1fe4819d7e0</t>
  </si>
  <si>
    <t>ORD200280</t>
  </si>
  <si>
    <t>fb45ff73-0e34-4680-8b1d-a1fd9c478281</t>
  </si>
  <si>
    <t>ORD200281</t>
  </si>
  <si>
    <t>c5a617df-007b-4372-843b-a4347e9927f1</t>
  </si>
  <si>
    <t>ORD200282</t>
  </si>
  <si>
    <t>88362408-87fb-4396-b8a9-789f3fbc7c9f</t>
  </si>
  <si>
    <t>ORD200283</t>
  </si>
  <si>
    <t>0affa2b6-02f3-4205-afc7-d30eba7906c3</t>
  </si>
  <si>
    <t>ORD200284</t>
  </si>
  <si>
    <t>c78cbe39-16d5-4368-a92c-95cd90be0e02</t>
  </si>
  <si>
    <t>ORD200285</t>
  </si>
  <si>
    <t>9d5d88e1-3ca1-42c3-b1fb-6559df8fe44f</t>
  </si>
  <si>
    <t>ORD200286</t>
  </si>
  <si>
    <t>3f77a1e1-1562-473e-8b58-d6a9f67d25e7</t>
  </si>
  <si>
    <t>ORD200287</t>
  </si>
  <si>
    <t>15c8ff7c-c25a-467d-8692-944f3bae5b75</t>
  </si>
  <si>
    <t>ORD200288</t>
  </si>
  <si>
    <t>f4b0515a-6520-4cfc-961f-c9d17d4abb2a</t>
  </si>
  <si>
    <t>ORD200289</t>
  </si>
  <si>
    <t>277375a3-860f-46cd-9a1a-bf31453d86ba</t>
  </si>
  <si>
    <t>ORD200290</t>
  </si>
  <si>
    <t>7a61ddcb-7891-4c89-b6e1-d9a75ae22bc9</t>
  </si>
  <si>
    <t>ORD200291</t>
  </si>
  <si>
    <t>95a139d5-30b8-46f3-9d0d-8d70fb7777f5</t>
  </si>
  <si>
    <t>ORD200292</t>
  </si>
  <si>
    <t>e4701af7-697d-4a90-9647-a77b3ffaf16f</t>
  </si>
  <si>
    <t>ORD200293</t>
  </si>
  <si>
    <t>0a1e4683-87a0-4af2-9b8d-fc94df983307</t>
  </si>
  <si>
    <t>ORD200294</t>
  </si>
  <si>
    <t>cf7f5215-9f57-4c7d-9c1a-b9c5c1c61ed4</t>
  </si>
  <si>
    <t>ORD200295</t>
  </si>
  <si>
    <t>b9e3f82d-5ffc-4f28-a03b-fa0f63f8926b</t>
  </si>
  <si>
    <t>ORD200296</t>
  </si>
  <si>
    <t>202d319f-58c3-4dc0-8176-3fd2ee49f2f7</t>
  </si>
  <si>
    <t>ORD200297</t>
  </si>
  <si>
    <t>be5eb558-339a-47db-9aae-f6cf548cea38</t>
  </si>
  <si>
    <t>ORD200298</t>
  </si>
  <si>
    <t>a38d2522-debc-47a5-8385-c5f515ac361b</t>
  </si>
  <si>
    <t>ORD200299</t>
  </si>
  <si>
    <t>96066f2a-a409-4193-86e2-036f7e2f862a</t>
  </si>
  <si>
    <t>ORD200300</t>
  </si>
  <si>
    <t>2bac9934-56cd-409f-8059-04bd362390c2</t>
  </si>
  <si>
    <t>ORD200301</t>
  </si>
  <si>
    <t>51681eae-7332-4f30-b249-e98f9615f736</t>
  </si>
  <si>
    <t>ORD200302</t>
  </si>
  <si>
    <t>7b8166d3-3bfb-4e34-a77f-178840df60c9</t>
  </si>
  <si>
    <t>ORD200303</t>
  </si>
  <si>
    <t>de1f60f6-f900-43e4-bf87-069b21c5fcd3</t>
  </si>
  <si>
    <t>ORD200304</t>
  </si>
  <si>
    <t>df5b6963-3991-4e19-a719-26f6d1356be0</t>
  </si>
  <si>
    <t>ORD200305</t>
  </si>
  <si>
    <t>33919162-3558-430e-9bac-7596e11ab40d</t>
  </si>
  <si>
    <t>ORD200306</t>
  </si>
  <si>
    <t>d453e136-979e-4e7f-8f5f-33863ca82b12</t>
  </si>
  <si>
    <t>ORD200307</t>
  </si>
  <si>
    <t>2299b407-2f64-47c0-ae10-34ab5052fa38</t>
  </si>
  <si>
    <t>ORD200308</t>
  </si>
  <si>
    <t>68666063-18bb-4b85-9d5d-035cb8acf8bf</t>
  </si>
  <si>
    <t>ORD200309</t>
  </si>
  <si>
    <t>5945298a-164e-431f-996d-3a668d7c0614</t>
  </si>
  <si>
    <t>ORD200310</t>
  </si>
  <si>
    <t>fd343a0e-991d-463e-91e9-dd0f55e6d374</t>
  </si>
  <si>
    <t>ORD200311</t>
  </si>
  <si>
    <t>5ab61f99-0593-4b87-a523-29ad8afd281d</t>
  </si>
  <si>
    <t>ORD200312</t>
  </si>
  <si>
    <t>f59f77d2-5b2e-48d1-bb04-ec4ae396f84b</t>
  </si>
  <si>
    <t>ORD200313</t>
  </si>
  <si>
    <t>af46d7ae-3ae6-47fb-b1ad-7ac7ea92e98a</t>
  </si>
  <si>
    <t>ORD200314</t>
  </si>
  <si>
    <t>ec84f54f-8c55-4ad6-8cb6-9ce8accabb4a</t>
  </si>
  <si>
    <t>ORD200315</t>
  </si>
  <si>
    <t>e72cffd0-889d-4414-9031-c78094bbeeaf</t>
  </si>
  <si>
    <t>ORD200316</t>
  </si>
  <si>
    <t>1ca9b4fb-b5f6-4365-980e-0335a8e09a17</t>
  </si>
  <si>
    <t>ORD200317</t>
  </si>
  <si>
    <t>c890b40d-9d17-47d3-bb51-8a77dc482f4c</t>
  </si>
  <si>
    <t>ORD200318</t>
  </si>
  <si>
    <t>d99d49da-4f78-4e81-92ee-3cd4fbb0bbd6</t>
  </si>
  <si>
    <t>ORD200319</t>
  </si>
  <si>
    <t>57f5f91b-51f0-4b2a-a764-8bdf23d8900f</t>
  </si>
  <si>
    <t>ORD200320</t>
  </si>
  <si>
    <t>a40226df-dafd-44f7-9c0f-5dcdadd490a1</t>
  </si>
  <si>
    <t>ORD200321</t>
  </si>
  <si>
    <t>d1d8a2ab-97a9-4e99-8e55-ebf8ccbbe7c5</t>
  </si>
  <si>
    <t>ORD200322</t>
  </si>
  <si>
    <t>03950ce7-be66-40bf-8c06-f2c883fa7451</t>
  </si>
  <si>
    <t>ORD200323</t>
  </si>
  <si>
    <t>ae3994ab-1f20-49ea-bf21-5a9263a8c7e2</t>
  </si>
  <si>
    <t>ORD200324</t>
  </si>
  <si>
    <t>c5c5700c-523c-4437-880a-7f3c48d9c542</t>
  </si>
  <si>
    <t>ORD200325</t>
  </si>
  <si>
    <t>bf03c831-02e5-4e90-85b1-803633ba3095</t>
  </si>
  <si>
    <t>ORD200326</t>
  </si>
  <si>
    <t>86256441-d6c9-427e-bb4f-a19e17322d73</t>
  </si>
  <si>
    <t>ORD200327</t>
  </si>
  <si>
    <t>2debbe34-89bb-41bf-a7c2-4c93f353e52f</t>
  </si>
  <si>
    <t>ORD200328</t>
  </si>
  <si>
    <t>46e00d27-0bb6-4aa6-bb37-34e229e0011f</t>
  </si>
  <si>
    <t>ORD200329</t>
  </si>
  <si>
    <t>d8925ae9-4dd6-4e7f-8e59-c682e84db78c</t>
  </si>
  <si>
    <t>ORD200330</t>
  </si>
  <si>
    <t>554b1d70-5ca6-4321-8e7c-f39dc559288b</t>
  </si>
  <si>
    <t>ORD200331</t>
  </si>
  <si>
    <t>bec4ad7c-34fe-4511-8297-e33af0672b2f</t>
  </si>
  <si>
    <t>ORD200332</t>
  </si>
  <si>
    <t>28ec688c-e4d5-470c-ad80-f1b7e99053fa</t>
  </si>
  <si>
    <t>ORD200333</t>
  </si>
  <si>
    <t>d06c260a-96cd-4371-acc8-1621429f9d13</t>
  </si>
  <si>
    <t>ORD200334</t>
  </si>
  <si>
    <t>407223da-e08c-4d86-b241-7376d0255696</t>
  </si>
  <si>
    <t>ORD200335</t>
  </si>
  <si>
    <t>c0c2b02d-41a4-4113-a249-39850bb5e816</t>
  </si>
  <si>
    <t>ORD200336</t>
  </si>
  <si>
    <t>0005cb25-4286-463b-a039-cacb49c554e0</t>
  </si>
  <si>
    <t>ORD200337</t>
  </si>
  <si>
    <t>fca4d82a-d249-4fa1-93fa-a01c48d8a441</t>
  </si>
  <si>
    <t>ORD200338</t>
  </si>
  <si>
    <t>6d88368a-572c-49d0-92e4-cbccc86aab7c</t>
  </si>
  <si>
    <t>ORD200339</t>
  </si>
  <si>
    <t>548f5a01-2f4d-462b-8f4b-580394123d75</t>
  </si>
  <si>
    <t>ORD200340</t>
  </si>
  <si>
    <t>62050511-e244-426c-8956-7453ee56e8f4</t>
  </si>
  <si>
    <t>ORD200341</t>
  </si>
  <si>
    <t>c87488ad-d69f-45b2-9239-c9d4ec8b1d23</t>
  </si>
  <si>
    <t>ORD200342</t>
  </si>
  <si>
    <t>fa778fb8-fe3f-4874-91a7-3da62cfe3052</t>
  </si>
  <si>
    <t>ORD200343</t>
  </si>
  <si>
    <t>8f7010b0-2876-4822-b154-b8c216bc9dfd</t>
  </si>
  <si>
    <t>ORD200344</t>
  </si>
  <si>
    <t>cd3188eb-edb4-4ac7-a797-09923a9b3584</t>
  </si>
  <si>
    <t>ORD200345</t>
  </si>
  <si>
    <t>7405f0df-3435-46d3-981c-00404e15dba6</t>
  </si>
  <si>
    <t>ORD200346</t>
  </si>
  <si>
    <t>842e05a9-5007-432c-b624-430bc48a55a9</t>
  </si>
  <si>
    <t>ORD200347</t>
  </si>
  <si>
    <t>5a33534c-9118-4cc0-a3d8-c7dd3432cc3d</t>
  </si>
  <si>
    <t>ORD200348</t>
  </si>
  <si>
    <t>f86f3696-4b87-4fea-8bbd-f33d213d32ce</t>
  </si>
  <si>
    <t>ORD200349</t>
  </si>
  <si>
    <t>a0a09cb4-312a-425b-869b-761da974630e</t>
  </si>
  <si>
    <t>ORD200350</t>
  </si>
  <si>
    <t>1efa76a7-7179-4ea6-be4d-692f108379f1</t>
  </si>
  <si>
    <t>ORD200351</t>
  </si>
  <si>
    <t>9505670a-6bf1-41b0-a9b4-49334607c266</t>
  </si>
  <si>
    <t>ORD200352</t>
  </si>
  <si>
    <t>604a12f6-0748-46ff-95fb-d80ee0cbf865</t>
  </si>
  <si>
    <t>ORD200353</t>
  </si>
  <si>
    <t>b7adb574-9a7e-46f0-ab83-8eacc113dbb4</t>
  </si>
  <si>
    <t>ORD200354</t>
  </si>
  <si>
    <t>5d30df39-047d-4e0b-b0b6-4ef9beb53519</t>
  </si>
  <si>
    <t>ORD200355</t>
  </si>
  <si>
    <t>fccdace8-813a-4c5f-a0f6-ba887db86fed</t>
  </si>
  <si>
    <t>ORD200356</t>
  </si>
  <si>
    <t>35c087a2-7d07-4c33-b7af-4cf530170eb8</t>
  </si>
  <si>
    <t>ORD200357</t>
  </si>
  <si>
    <t>e58d70ef-2594-4bef-a316-1928c046c462</t>
  </si>
  <si>
    <t>ORD200358</t>
  </si>
  <si>
    <t>d123f272-7543-48af-9546-21cd16895266</t>
  </si>
  <si>
    <t>ORD200359</t>
  </si>
  <si>
    <t>ebe4ab9b-9630-4cc7-9392-5a0b6610b7e0</t>
  </si>
  <si>
    <t>ORD200360</t>
  </si>
  <si>
    <t>1c06f549-ba0a-40f0-9c6c-d87611a7ffda</t>
  </si>
  <si>
    <t>ORD200361</t>
  </si>
  <si>
    <t>41563a96-18cf-41f8-8166-ace1a23a0e48</t>
  </si>
  <si>
    <t>ORD200362</t>
  </si>
  <si>
    <t>55eb2af2-5c06-4230-889e-b8eddd7ea542</t>
  </si>
  <si>
    <t>ORD200363</t>
  </si>
  <si>
    <t>5133490a-8b00-4e2d-9d64-dc5c94ea9e00</t>
  </si>
  <si>
    <t>ORD200364</t>
  </si>
  <si>
    <t>f107574c-698b-44d5-a283-a122ac3a25e6</t>
  </si>
  <si>
    <t>ORD200365</t>
  </si>
  <si>
    <t>5b443fc5-8123-4d58-9bc4-6987f417bfef</t>
  </si>
  <si>
    <t>ORD200366</t>
  </si>
  <si>
    <t>8136aefe-c2d9-405a-b92a-fe3ed06ac75e</t>
  </si>
  <si>
    <t>ORD200367</t>
  </si>
  <si>
    <t>da59da35-87ee-495a-9898-1a2247f05498</t>
  </si>
  <si>
    <t>ORD200368</t>
  </si>
  <si>
    <t>4e399156-9f1d-4f59-86f7-3438c781e45d</t>
  </si>
  <si>
    <t>ORD200369</t>
  </si>
  <si>
    <t>588b740a-3cca-4660-8bf3-a02d7cc472f3</t>
  </si>
  <si>
    <t>ORD200370</t>
  </si>
  <si>
    <t>da6008b7-fb43-444a-9fa7-23b429e6d276</t>
  </si>
  <si>
    <t>ORD200371</t>
  </si>
  <si>
    <t>25a09440-a05c-4b17-a2d3-d68cd2479dc7</t>
  </si>
  <si>
    <t>ORD200372</t>
  </si>
  <si>
    <t>42486b8f-338e-43d9-bd5a-81b0b6462af1</t>
  </si>
  <si>
    <t>ORD200373</t>
  </si>
  <si>
    <t>f22eeef5-a7eb-45f8-8712-cda6e076708f</t>
  </si>
  <si>
    <t>ORD200374</t>
  </si>
  <si>
    <t>2a1cbbe4-8bd5-4e70-8632-ffcf1cf95853</t>
  </si>
  <si>
    <t>ORD200375</t>
  </si>
  <si>
    <t>cccc6f96-9193-43c8-9428-1b55e8aba97d</t>
  </si>
  <si>
    <t>ORD200376</t>
  </si>
  <si>
    <t>bc18ecd1-1460-4083-b5c9-28cbeb881a1f</t>
  </si>
  <si>
    <t>ORD200377</t>
  </si>
  <si>
    <t>76ca6940-4390-4a2c-939b-b6c4ed1fd5cf</t>
  </si>
  <si>
    <t>ORD200378</t>
  </si>
  <si>
    <t>4eec2c7f-994e-4fb1-90dc-dbc1c0a4815e</t>
  </si>
  <si>
    <t>ORD200379</t>
  </si>
  <si>
    <t>fd8c5362-e8cf-4698-b751-37a249902fb1</t>
  </si>
  <si>
    <t>ORD200380</t>
  </si>
  <si>
    <t>f6ca0663-1095-4a78-ba58-2383796447f0</t>
  </si>
  <si>
    <t>ORD200381</t>
  </si>
  <si>
    <t>e1f170ca-2ab9-444c-a116-eaa0ea4b17f2</t>
  </si>
  <si>
    <t>ORD200382</t>
  </si>
  <si>
    <t>e4e0cdf5-40fd-499e-8b8f-b3bc6ea62859</t>
  </si>
  <si>
    <t>ORD200383</t>
  </si>
  <si>
    <t>b1753d96-8baf-4095-90c6-4a16f4dc3a5d</t>
  </si>
  <si>
    <t>ORD200384</t>
  </si>
  <si>
    <t>8789d52d-971e-4e79-bcb9-c68a4315b178</t>
  </si>
  <si>
    <t>ORD200385</t>
  </si>
  <si>
    <t>ef4d7ff7-421b-4c6f-8268-fe1f0c12a8f4</t>
  </si>
  <si>
    <t>ORD200386</t>
  </si>
  <si>
    <t>7ed5bd05-b3b7-4502-87c8-f66712ab92f8</t>
  </si>
  <si>
    <t>ORD200387</t>
  </si>
  <si>
    <t>b46fe0a7-3e92-40ad-907a-9ef310c41a34</t>
  </si>
  <si>
    <t>ORD200388</t>
  </si>
  <si>
    <t>860a7fce-bd6a-439c-83c8-7364a046c22f</t>
  </si>
  <si>
    <t>ORD200389</t>
  </si>
  <si>
    <t>23fa9a44-9968-410b-aff3-d158ebeaa38a</t>
  </si>
  <si>
    <t>ORD200390</t>
  </si>
  <si>
    <t>7d4b0d0f-4fc3-4287-926c-5f4448192d45</t>
  </si>
  <si>
    <t>ORD200391</t>
  </si>
  <si>
    <t>e91ad768-9f2c-450b-8078-67b54b577032</t>
  </si>
  <si>
    <t>ORD200392</t>
  </si>
  <si>
    <t>4921c9b8-0b31-4042-b3bd-ad0dbbbf34e7</t>
  </si>
  <si>
    <t>ORD200393</t>
  </si>
  <si>
    <t>5494993b-e8eb-4343-81f8-2b7b0fdbea21</t>
  </si>
  <si>
    <t>ORD200394</t>
  </si>
  <si>
    <t>b1b9b4d0-2328-47ee-a0e7-f52f3c7093bc</t>
  </si>
  <si>
    <t>ORD200395</t>
  </si>
  <si>
    <t>28d76f24-a748-49d1-a0f3-aee76d9d1785</t>
  </si>
  <si>
    <t>ORD200396</t>
  </si>
  <si>
    <t>d3ef2639-bf8d-474b-abb6-222ebc3b810f</t>
  </si>
  <si>
    <t>ORD200397</t>
  </si>
  <si>
    <t>bba149b8-022d-4a96-89ac-07d28cfca6c4</t>
  </si>
  <si>
    <t>ORD200398</t>
  </si>
  <si>
    <t>d405e6d1-766d-446b-bbe5-851904997a31</t>
  </si>
  <si>
    <t>ORD200399</t>
  </si>
  <si>
    <t>88cee133-ede0-4b43-9376-fd4473d5a962</t>
  </si>
  <si>
    <t>ORD200400</t>
  </si>
  <si>
    <t>aac09eea-f76e-45e3-a5eb-cbfaba5fff3e</t>
  </si>
  <si>
    <t>ORD200401</t>
  </si>
  <si>
    <t>29b0fef9-c3d0-4100-85c0-21c99c7a2c35</t>
  </si>
  <si>
    <t>ORD200402</t>
  </si>
  <si>
    <t>ead7b756-0dca-42a6-b4e4-a0e1738a2330</t>
  </si>
  <si>
    <t>ORD200403</t>
  </si>
  <si>
    <t>06dd8447-0fde-4a7f-8944-2c39fb7f8087</t>
  </si>
  <si>
    <t>ORD200404</t>
  </si>
  <si>
    <t>31190f88-82ee-4fde-937f-0e80ee8fe0f3</t>
  </si>
  <si>
    <t>ORD200405</t>
  </si>
  <si>
    <t>5ea2d0b6-3be7-4f7d-ba7f-cb68fd9efb3e</t>
  </si>
  <si>
    <t>ORD200406</t>
  </si>
  <si>
    <t>214bdb71-38b3-41d1-b65b-14d40180b9c6</t>
  </si>
  <si>
    <t>ORD200407</t>
  </si>
  <si>
    <t>1d360ce3-41b5-4fd4-977e-9a4ed1127805</t>
  </si>
  <si>
    <t>ORD200408</t>
  </si>
  <si>
    <t>23120948-5be1-41b1-9a03-d8008b4546ba</t>
  </si>
  <si>
    <t>ORD200409</t>
  </si>
  <si>
    <t>c94cfa21-2cfc-4fe1-83e6-1671f1396b6c</t>
  </si>
  <si>
    <t>ORD200410</t>
  </si>
  <si>
    <t>24864c0e-f910-4ca0-bc3f-410cc6494b31</t>
  </si>
  <si>
    <t>ORD200411</t>
  </si>
  <si>
    <t>3346072c-149b-4dac-9cf7-51ed848fd853</t>
  </si>
  <si>
    <t>ORD200412</t>
  </si>
  <si>
    <t>d4bd746a-42e6-47f0-a023-eac69d4d251f</t>
  </si>
  <si>
    <t>ORD200413</t>
  </si>
  <si>
    <t>68dd9fa0-b3e5-4015-95d8-0d2a5a07bbee</t>
  </si>
  <si>
    <t>ORD200414</t>
  </si>
  <si>
    <t>dce539f9-8246-46bb-905f-5557d114cc28</t>
  </si>
  <si>
    <t>ORD200415</t>
  </si>
  <si>
    <t>d9600641-3aba-4f2d-80e0-55cf71e0d16c</t>
  </si>
  <si>
    <t>ORD200416</t>
  </si>
  <si>
    <t>d234be39-be43-4549-929c-9dd88d10266a</t>
  </si>
  <si>
    <t>ORD200417</t>
  </si>
  <si>
    <t>ed88ce14-0eb0-4b34-8811-7ad8ca8f906c</t>
  </si>
  <si>
    <t>ORD200418</t>
  </si>
  <si>
    <t>a8078652-05d7-4a48-bbf5-53b32b2706ee</t>
  </si>
  <si>
    <t>ORD200419</t>
  </si>
  <si>
    <t>5bcbd1ea-bbb3-447b-92e3-e505bd74a45f</t>
  </si>
  <si>
    <t>ORD200420</t>
  </si>
  <si>
    <t>dff4d066-9bdb-47e1-b03e-b3fb30e109ec</t>
  </si>
  <si>
    <t>ORD200421</t>
  </si>
  <si>
    <t>b07e9c62-e0e4-4af0-8e5a-d12136aa2040</t>
  </si>
  <si>
    <t>ORD200422</t>
  </si>
  <si>
    <t>7948108b-99c6-4938-9545-dcb6edbbfcd0</t>
  </si>
  <si>
    <t>ORD200423</t>
  </si>
  <si>
    <t>d4b90c76-6214-47ce-9682-ae01d557c3ae</t>
  </si>
  <si>
    <t>ORD200424</t>
  </si>
  <si>
    <t>c72bd011-0822-4059-a629-d3c5d8ee8791</t>
  </si>
  <si>
    <t>ORD200425</t>
  </si>
  <si>
    <t>65be45ea-2f16-42a7-8e4b-a1d0ca0d493f</t>
  </si>
  <si>
    <t>ORD200426</t>
  </si>
  <si>
    <t>927c3152-2450-4268-b8c8-fc81ca8aa03a</t>
  </si>
  <si>
    <t>ORD200427</t>
  </si>
  <si>
    <t>8fe39e02-84d2-453e-a08d-d5cb686d01ec</t>
  </si>
  <si>
    <t>ORD200428</t>
  </si>
  <si>
    <t>2d1cfc58-d09d-4d4e-8be2-3fe75e1fd1a7</t>
  </si>
  <si>
    <t>ORD200429</t>
  </si>
  <si>
    <t>af02225d-7fcd-47b4-b42a-eb1a1638f965</t>
  </si>
  <si>
    <t>ORD200430</t>
  </si>
  <si>
    <t>e7f162f3-9cae-47a4-a436-30b00c839786</t>
  </si>
  <si>
    <t>ORD200431</t>
  </si>
  <si>
    <t>d41c7a9e-202f-47e4-9f77-3ac485c8eacd</t>
  </si>
  <si>
    <t>ORD200432</t>
  </si>
  <si>
    <t>8a0d6350-159f-4530-a946-18e104e4095c</t>
  </si>
  <si>
    <t>ORD200433</t>
  </si>
  <si>
    <t>17e69b00-7d1f-46c4-a131-54fbf63edc71</t>
  </si>
  <si>
    <t>ORD200434</t>
  </si>
  <si>
    <t>767ee2d2-5901-4cd7-a88b-ac7487d00160</t>
  </si>
  <si>
    <t>ORD200435</t>
  </si>
  <si>
    <t>6c2f9016-757d-482e-89f6-ddcca696d33e</t>
  </si>
  <si>
    <t>ORD200436</t>
  </si>
  <si>
    <t>417fe01d-776e-498b-b77b-0ffaf2b393c7</t>
  </si>
  <si>
    <t>ORD200437</t>
  </si>
  <si>
    <t>048149f8-b37b-4c9d-939e-1745b5a9a662</t>
  </si>
  <si>
    <t>ORD200438</t>
  </si>
  <si>
    <t>d91a7191-dee4-4804-9463-2f87b9775aa2</t>
  </si>
  <si>
    <t>ORD200439</t>
  </si>
  <si>
    <t>f118077a-ff2f-4b42-a4a7-40dd65b3618c</t>
  </si>
  <si>
    <t>ORD200440</t>
  </si>
  <si>
    <t>30ccf811-ebe5-485f-b27f-9586de0b7fe6</t>
  </si>
  <si>
    <t>ORD200441</t>
  </si>
  <si>
    <t>ae221044-59ef-4da6-8d93-43a63718ec78</t>
  </si>
  <si>
    <t>ORD200442</t>
  </si>
  <si>
    <t>930e2897-a951-446e-aed4-42a6e4a19852</t>
  </si>
  <si>
    <t>ORD200443</t>
  </si>
  <si>
    <t>8352a5a4-bc4a-4125-bfdd-00e45741c870</t>
  </si>
  <si>
    <t>ORD200444</t>
  </si>
  <si>
    <t>ffdd4373-65ff-4a31-8aa0-47321b1d92c8</t>
  </si>
  <si>
    <t>ORD200445</t>
  </si>
  <si>
    <t>8b9a0c27-69e3-4282-9e84-f140239db723</t>
  </si>
  <si>
    <t>ORD200446</t>
  </si>
  <si>
    <t>1230d75b-b0a6-4bfa-a819-bd411fee2a90</t>
  </si>
  <si>
    <t>ORD200447</t>
  </si>
  <si>
    <t>cb3c2b20-df2b-43c0-b907-ba517094b623</t>
  </si>
  <si>
    <t>ORD200448</t>
  </si>
  <si>
    <t>8853222c-46d5-40e7-956c-ab758d838d3e</t>
  </si>
  <si>
    <t>ORD200449</t>
  </si>
  <si>
    <t>a59bdea3-1bb7-4e1f-8e08-4d482614689c</t>
  </si>
  <si>
    <t>ORD200450</t>
  </si>
  <si>
    <t>0883de8a-45cb-4d09-bc65-96fd0aa08b45</t>
  </si>
  <si>
    <t>ORD200451</t>
  </si>
  <si>
    <t>cd057718-65ed-4faf-8c99-8da95ac5f7ae</t>
  </si>
  <si>
    <t>ORD200452</t>
  </si>
  <si>
    <t>291bbf0a-86f6-4d66-9c20-bbba6dabcbb6</t>
  </si>
  <si>
    <t>ORD200453</t>
  </si>
  <si>
    <t>a326e88a-4503-4f25-98cf-564597507425</t>
  </si>
  <si>
    <t>ORD200454</t>
  </si>
  <si>
    <t>f793172a-6ed2-4f0d-b90b-dcda51538e67</t>
  </si>
  <si>
    <t>ORD200455</t>
  </si>
  <si>
    <t>38b9f0d5-226b-4396-9fc0-0b41eaee58b9</t>
  </si>
  <si>
    <t>ORD200456</t>
  </si>
  <si>
    <t>360139b0-a355-47fa-9e20-016ca0a5be6c</t>
  </si>
  <si>
    <t>ORD200457</t>
  </si>
  <si>
    <t>a8f8a4ea-f7dc-449e-9dc5-16fe33ea71b4</t>
  </si>
  <si>
    <t>ORD200458</t>
  </si>
  <si>
    <t>be20c28b-8f36-4781-95fd-146e903f7314</t>
  </si>
  <si>
    <t>ORD200459</t>
  </si>
  <si>
    <t>4c499e95-82c3-4fe2-8051-7612927e9c33</t>
  </si>
  <si>
    <t>ORD200460</t>
  </si>
  <si>
    <t>d0f8998b-38cf-49d9-bc84-ce9e0751016d</t>
  </si>
  <si>
    <t>ORD200461</t>
  </si>
  <si>
    <t>28ced076-df8a-4b6f-947c-e9565433bee4</t>
  </si>
  <si>
    <t>ORD200462</t>
  </si>
  <si>
    <t>e712fe74-cae4-427f-9986-86290444608e</t>
  </si>
  <si>
    <t>ORD200463</t>
  </si>
  <si>
    <t>70d6cb77-d19a-441c-9090-e4dc85004e55</t>
  </si>
  <si>
    <t>ORD200464</t>
  </si>
  <si>
    <t>3fa309e6-aedb-41a5-958d-e986ad881e36</t>
  </si>
  <si>
    <t>ORD200465</t>
  </si>
  <si>
    <t>1f6312bc-aede-4116-9e77-f2927d3587da</t>
  </si>
  <si>
    <t>ORD200466</t>
  </si>
  <si>
    <t>fdda3d4d-e419-465c-80e1-add33eaa5591</t>
  </si>
  <si>
    <t>ORD200467</t>
  </si>
  <si>
    <t>cd1256aa-53cd-4d0f-8e94-89b9f00fdb32</t>
  </si>
  <si>
    <t>ORD200468</t>
  </si>
  <si>
    <t>1df52526-f5a1-4bc6-9045-d25f092d051e</t>
  </si>
  <si>
    <t>ORD200469</t>
  </si>
  <si>
    <t>2f5127ce-7e6e-4868-b967-a531084b87c3</t>
  </si>
  <si>
    <t>ORD200470</t>
  </si>
  <si>
    <t>8244a835-bb73-40b5-93ad-f426939fd750</t>
  </si>
  <si>
    <t>ORD200471</t>
  </si>
  <si>
    <t>bce193fb-4180-4c24-b7c3-914a21d904b9</t>
  </si>
  <si>
    <t>ORD200472</t>
  </si>
  <si>
    <t>397312dd-a538-44ff-bdc7-55fec52223a4</t>
  </si>
  <si>
    <t>ORD200473</t>
  </si>
  <si>
    <t>d233985e-cbd3-465d-8f9a-31bd59e3b8df</t>
  </si>
  <si>
    <t>ORD200474</t>
  </si>
  <si>
    <t>f6cd61a8-56e6-4718-afcc-154de82a9268</t>
  </si>
  <si>
    <t>ORD200475</t>
  </si>
  <si>
    <t>b11e5ae6-eb21-4c21-9060-c50e29b1fae8</t>
  </si>
  <si>
    <t>ORD200476</t>
  </si>
  <si>
    <t>5d64e038-49b2-4212-b672-e3663707689b</t>
  </si>
  <si>
    <t>ORD200477</t>
  </si>
  <si>
    <t>de31ecb8-028a-4c5e-b971-6e3264a086e3</t>
  </si>
  <si>
    <t>ORD200478</t>
  </si>
  <si>
    <t>12ca39c1-0f61-406d-8f3c-1715eec9d1a1</t>
  </si>
  <si>
    <t>ORD200479</t>
  </si>
  <si>
    <t>67918cec-816f-4850-bbbb-4b7f9d8128aa</t>
  </si>
  <si>
    <t>ORD200480</t>
  </si>
  <si>
    <t>45ed822c-1a5e-4231-b199-123876c70846</t>
  </si>
  <si>
    <t>ORD200481</t>
  </si>
  <si>
    <t>e3ec8f91-383e-406c-acf5-637161954e07</t>
  </si>
  <si>
    <t>ORD200482</t>
  </si>
  <si>
    <t>8df501d8-f01b-472e-b173-cfd8dec0e65d</t>
  </si>
  <si>
    <t>ORD200483</t>
  </si>
  <si>
    <t>3951bc99-cfff-485c-9c01-a9d485e989b8</t>
  </si>
  <si>
    <t>ORD200484</t>
  </si>
  <si>
    <t>4b7e57f0-28fc-4c4a-8ef3-1b53d2cd458c</t>
  </si>
  <si>
    <t>ORD200485</t>
  </si>
  <si>
    <t>9abb03eb-7b71-4bac-9ba4-6985386449c5</t>
  </si>
  <si>
    <t>ORD200486</t>
  </si>
  <si>
    <t>7de2988c-1065-4115-931e-068448fb49e6</t>
  </si>
  <si>
    <t>ORD200487</t>
  </si>
  <si>
    <t>5b6f8c2b-0a0d-4ce3-9112-b15c29a8afd8</t>
  </si>
  <si>
    <t>ORD200488</t>
  </si>
  <si>
    <t>5734b672-e588-4f29-bdcc-0e897a7f9e64</t>
  </si>
  <si>
    <t>ORD200489</t>
  </si>
  <si>
    <t>14515065-f527-41d2-9381-1f56d4eba08a</t>
  </si>
  <si>
    <t>ORD200490</t>
  </si>
  <si>
    <t>f9c32210-112e-42d1-bc50-fd05b7e54274</t>
  </si>
  <si>
    <t>ORD200491</t>
  </si>
  <si>
    <t>efd7b32f-05aa-4b69-87a7-1f43a9fa4963</t>
  </si>
  <si>
    <t>ORD200492</t>
  </si>
  <si>
    <t>86aae83a-6081-4ae6-b275-93687dfb18ed</t>
  </si>
  <si>
    <t>ORD200493</t>
  </si>
  <si>
    <t>aa77b4a6-7cda-497c-978b-dda2145e55c2</t>
  </si>
  <si>
    <t>ORD200494</t>
  </si>
  <si>
    <t>78e05abf-c67f-47b3-9393-9e6aa254cc84</t>
  </si>
  <si>
    <t>ORD200495</t>
  </si>
  <si>
    <t>3f3866de-7d10-42cb-9ccb-d73ac670daab</t>
  </si>
  <si>
    <t>ORD200496</t>
  </si>
  <si>
    <t>1849287f-f02c-4dff-8522-25ffd14aa26c</t>
  </si>
  <si>
    <t>ORD200497</t>
  </si>
  <si>
    <t>ec636b19-e47f-492c-b1a8-66cf1b8ad09f</t>
  </si>
  <si>
    <t>ORD200498</t>
  </si>
  <si>
    <t>9b0e0a59-6ea0-41b6-8e2c-1f6b403478a1</t>
  </si>
  <si>
    <t>ORD200499</t>
  </si>
  <si>
    <t>df59ea2e-1b20-4f63-b78f-e70623a4f338</t>
  </si>
  <si>
    <t>ORD200500</t>
  </si>
  <si>
    <t>aa757243-a21e-4cad-984f-0d38b95c71f6</t>
  </si>
  <si>
    <t>ORD200501</t>
  </si>
  <si>
    <t>0a208fc9-e298-474d-8e9a-e88719609c68</t>
  </si>
  <si>
    <t>ORD200502</t>
  </si>
  <si>
    <t>4bcce609-6ae2-4be1-85f6-061881fcf15f</t>
  </si>
  <si>
    <t>ORD200503</t>
  </si>
  <si>
    <t>c2bfd2e0-6d16-4f3b-bd41-0540a7084499</t>
  </si>
  <si>
    <t>ORD200504</t>
  </si>
  <si>
    <t>4de83804-f0a0-40c1-8d02-c90f470af4f2</t>
  </si>
  <si>
    <t>ORD200505</t>
  </si>
  <si>
    <t>b17c72a7-3b81-44df-91f6-1e6711d57546</t>
  </si>
  <si>
    <t>ORD200506</t>
  </si>
  <si>
    <t>807a19c0-c16a-4b53-a01f-0d89e50bf1d6</t>
  </si>
  <si>
    <t>ORD200507</t>
  </si>
  <si>
    <t>22453c65-a4d6-4133-9a00-f65d9ae2db73</t>
  </si>
  <si>
    <t>ORD200508</t>
  </si>
  <si>
    <t>e8ac630f-4e04-4ee3-9178-405c6fda27c1</t>
  </si>
  <si>
    <t>ORD200509</t>
  </si>
  <si>
    <t>de3dc624-db15-4f4f-9110-a96884486e86</t>
  </si>
  <si>
    <t>ORD200510</t>
  </si>
  <si>
    <t>63ffba4d-5491-4c1d-b112-c8abfdaebe3e</t>
  </si>
  <si>
    <t>ORD200511</t>
  </si>
  <si>
    <t>e248d68e-1d26-45e3-a3f9-0e0f146a66d1</t>
  </si>
  <si>
    <t>ORD200512</t>
  </si>
  <si>
    <t>876af166-d798-4fbd-a31c-a6f256c2d40e</t>
  </si>
  <si>
    <t>ORD200513</t>
  </si>
  <si>
    <t>2a107861-e7e4-480f-8960-01fb77027a92</t>
  </si>
  <si>
    <t>ORD200514</t>
  </si>
  <si>
    <t>9e83ebc0-d195-452c-8417-5a1a51db02b7</t>
  </si>
  <si>
    <t>ORD200515</t>
  </si>
  <si>
    <t>8ae4fe45-8c2d-4b70-bc6c-2f320050dafb</t>
  </si>
  <si>
    <t>ORD200516</t>
  </si>
  <si>
    <t>fa22c99b-94fa-419d-a89f-7385fdd382cd</t>
  </si>
  <si>
    <t>ORD200517</t>
  </si>
  <si>
    <t>2839cda8-30b9-443a-aaf7-433bc33e4e65</t>
  </si>
  <si>
    <t>ORD200518</t>
  </si>
  <si>
    <t>b6d75d37-d01e-44cf-aea2-5cb485e1b0d4</t>
  </si>
  <si>
    <t>ORD200519</t>
  </si>
  <si>
    <t>8ba77288-8ec7-4e6b-a1f0-4ac5258048a3</t>
  </si>
  <si>
    <t>ORD200520</t>
  </si>
  <si>
    <t>b7c43419-75d6-4ef1-8e0f-e42bb00348b9</t>
  </si>
  <si>
    <t>ORD200521</t>
  </si>
  <si>
    <t>8b2e47b7-280e-4d87-b773-600e7838a8d0</t>
  </si>
  <si>
    <t>ORD200522</t>
  </si>
  <si>
    <t>4dd4e7b5-b1a1-47dc-8ea3-107f7c578720</t>
  </si>
  <si>
    <t>ORD200523</t>
  </si>
  <si>
    <t>34da4d99-c9a4-4ec3-ab44-599b15314aec</t>
  </si>
  <si>
    <t>ORD200524</t>
  </si>
  <si>
    <t>79b28a11-cd8d-46a8-8114-38761cd9a3e1</t>
  </si>
  <si>
    <t>ORD200525</t>
  </si>
  <si>
    <t>a1cc352c-ac28-4045-841a-1f81cba7ecc6</t>
  </si>
  <si>
    <t>ORD200526</t>
  </si>
  <si>
    <t>0c5b718a-20ad-47af-b1ae-871cacb6ea62</t>
  </si>
  <si>
    <t>ORD200527</t>
  </si>
  <si>
    <t>3bed8ccd-ce29-48f3-b2f2-d61c627a234f</t>
  </si>
  <si>
    <t>ORD200528</t>
  </si>
  <si>
    <t>9968e136-0d55-4211-8b1e-08d7f0222308</t>
  </si>
  <si>
    <t>ORD200529</t>
  </si>
  <si>
    <t>c3039dd8-9c91-4f1a-bd17-14751f2be6bd</t>
  </si>
  <si>
    <t>ORD200530</t>
  </si>
  <si>
    <t>4c15d245-9ed2-4e5e-8a32-e127b56158e2</t>
  </si>
  <si>
    <t>ORD200531</t>
  </si>
  <si>
    <t>0f50fe6e-c698-4aaf-8f11-cefa2b873eb0</t>
  </si>
  <si>
    <t>ORD200532</t>
  </si>
  <si>
    <t>0a02b09e-034f-4259-aef2-26117d37dd8e</t>
  </si>
  <si>
    <t>ORD200533</t>
  </si>
  <si>
    <t>591079bd-f6e5-4c21-b840-5b0ab55f323c</t>
  </si>
  <si>
    <t>ORD200534</t>
  </si>
  <si>
    <t>05b9759e-e3e3-4867-9048-c1d6f3cf9baf</t>
  </si>
  <si>
    <t>ORD200535</t>
  </si>
  <si>
    <t>90094f5c-f20e-47b0-a8dc-1f17e1db8417</t>
  </si>
  <si>
    <t>ORD200536</t>
  </si>
  <si>
    <t>f668e6dd-3f5a-4376-9c22-056d0f1ff8d5</t>
  </si>
  <si>
    <t>ORD200537</t>
  </si>
  <si>
    <t>9fedc128-5ee5-487c-9c70-444b4c837d4c</t>
  </si>
  <si>
    <t>ORD200538</t>
  </si>
  <si>
    <t>a679760f-781a-4703-be62-856bdb580ebc</t>
  </si>
  <si>
    <t>ORD200539</t>
  </si>
  <si>
    <t>986e1347-05b0-4ea5-a131-b7dbeb4c1acd</t>
  </si>
  <si>
    <t>ORD200540</t>
  </si>
  <si>
    <t>615a4091-bfc4-469b-bb8f-3d1f6f5618d3</t>
  </si>
  <si>
    <t>ORD200541</t>
  </si>
  <si>
    <t>ffdda782-475e-4aa3-b1fc-897774dc43da</t>
  </si>
  <si>
    <t>ORD200542</t>
  </si>
  <si>
    <t>ac1d8bd4-2cc5-432c-a7f6-54f390ca909d</t>
  </si>
  <si>
    <t>ORD200543</t>
  </si>
  <si>
    <t>3474d030-6ec5-42d2-bf8e-ad2b1da8411f</t>
  </si>
  <si>
    <t>ORD200544</t>
  </si>
  <si>
    <t>76248dca-be6e-4e04-b7c4-193b8c93e277</t>
  </si>
  <si>
    <t>ORD200545</t>
  </si>
  <si>
    <t>55b56fbc-031d-46a5-9520-c4eb4d2113a9</t>
  </si>
  <si>
    <t>ORD200546</t>
  </si>
  <si>
    <t>fb202cbf-7569-4445-a61b-886661c06be9</t>
  </si>
  <si>
    <t>ORD200547</t>
  </si>
  <si>
    <t>0f38389e-cb2a-44f4-af27-697a338340ad</t>
  </si>
  <si>
    <t>ORD200548</t>
  </si>
  <si>
    <t>cfc19548-a049-4130-a7fc-967273be777d</t>
  </si>
  <si>
    <t>ORD200549</t>
  </si>
  <si>
    <t>35ebeeb6-1110-4b12-98d5-99467f0d31bd</t>
  </si>
  <si>
    <t>ORD200550</t>
  </si>
  <si>
    <t>48e848da-22f4-4759-a6ea-d42beb0f5988</t>
  </si>
  <si>
    <t>ORD200551</t>
  </si>
  <si>
    <t>93d73882-0707-438e-9db3-698176b9b5c4</t>
  </si>
  <si>
    <t>ORD200552</t>
  </si>
  <si>
    <t>c7e76cb3-1f3f-473e-b3ec-fd20c56d38bb</t>
  </si>
  <si>
    <t>ORD200553</t>
  </si>
  <si>
    <t>e6813796-338d-4526-b605-143b3bd044df</t>
  </si>
  <si>
    <t>ORD200554</t>
  </si>
  <si>
    <t>2e04296f-11f2-4cdc-99f0-63fef0df0e2b</t>
  </si>
  <si>
    <t>ORD200555</t>
  </si>
  <si>
    <t>f68cb3af-c646-49c2-991c-8084b60129ec</t>
  </si>
  <si>
    <t>ORD200556</t>
  </si>
  <si>
    <t>bd24c8f4-65c2-4f6c-bd39-d6f93ff21459</t>
  </si>
  <si>
    <t>ORD200557</t>
  </si>
  <si>
    <t>9753d48d-f2b8-4b7a-bdf3-eeaccb14e8bb</t>
  </si>
  <si>
    <t>ORD200558</t>
  </si>
  <si>
    <t>2fed11f7-9189-4712-9ad0-94b5cd691fde</t>
  </si>
  <si>
    <t>ORD200559</t>
  </si>
  <si>
    <t>506615a3-23be-42ed-b600-0554fc562f44</t>
  </si>
  <si>
    <t>ORD200560</t>
  </si>
  <si>
    <t>9bfe40ea-dfd5-4094-ae45-145439b679db</t>
  </si>
  <si>
    <t>ORD200561</t>
  </si>
  <si>
    <t>e8467e71-5544-4820-9ada-039df37f94e2</t>
  </si>
  <si>
    <t>ORD200562</t>
  </si>
  <si>
    <t>d008eaf6-4739-4e67-a7e8-a4321119da7d</t>
  </si>
  <si>
    <t>ORD200563</t>
  </si>
  <si>
    <t>dd00407e-fd1a-4acf-b239-e95289263c4f</t>
  </si>
  <si>
    <t>ORD200564</t>
  </si>
  <si>
    <t>e51ee661-3cea-4f41-a60e-3a61ba83093d</t>
  </si>
  <si>
    <t>ORD200565</t>
  </si>
  <si>
    <t>7c1ee502-8674-4000-823f-f20216334aca</t>
  </si>
  <si>
    <t>ORD200566</t>
  </si>
  <si>
    <t>f1c8c8d6-8428-4ebf-871b-257733cd3e1e</t>
  </si>
  <si>
    <t>ORD200567</t>
  </si>
  <si>
    <t>3a522830-d7fb-4ff2-8626-04752acd4134</t>
  </si>
  <si>
    <t>ORD200568</t>
  </si>
  <si>
    <t>5c3a79c7-c988-48d5-82ed-69f584be3270</t>
  </si>
  <si>
    <t>ORD200569</t>
  </si>
  <si>
    <t>ceab118e-2cd6-49cb-b9c6-16151bff91e4</t>
  </si>
  <si>
    <t>ORD200570</t>
  </si>
  <si>
    <t>0e1436ce-72c7-4c7d-9aa8-698052403ada</t>
  </si>
  <si>
    <t>ORD200571</t>
  </si>
  <si>
    <t>2591989c-ef27-4be5-ac38-2246228dc9ce</t>
  </si>
  <si>
    <t>ORD200572</t>
  </si>
  <si>
    <t>4a5d6f89-b3e1-485e-93a2-95bf365514c3</t>
  </si>
  <si>
    <t>ORD200573</t>
  </si>
  <si>
    <t>d476e464-fc93-4f0c-8db4-878264b0c9e0</t>
  </si>
  <si>
    <t>ORD200574</t>
  </si>
  <si>
    <t>eb39ae63-3ec4-4afe-bf7a-f25d145693b4</t>
  </si>
  <si>
    <t>ORD200575</t>
  </si>
  <si>
    <t>57c5a3d8-8411-4343-b48f-e82946d9267d</t>
  </si>
  <si>
    <t>ORD200576</t>
  </si>
  <si>
    <t>5fac1d27-2096-4a00-a5c7-79e00578511d</t>
  </si>
  <si>
    <t>ORD200577</t>
  </si>
  <si>
    <t>13bfe927-bf4e-4345-bd13-e0ad81605e22</t>
  </si>
  <si>
    <t>ORD200578</t>
  </si>
  <si>
    <t>fabf946e-3fac-49bb-b9d0-b35dab8afa03</t>
  </si>
  <si>
    <t>ORD200579</t>
  </si>
  <si>
    <t>979e5a12-bf19-46e3-add1-97a562f7fbb3</t>
  </si>
  <si>
    <t>ORD200580</t>
  </si>
  <si>
    <t>54f06135-7693-4926-a7a6-1d62e43b96a3</t>
  </si>
  <si>
    <t>ORD200581</t>
  </si>
  <si>
    <t>43e176d2-3141-4266-9643-e923ee46074a</t>
  </si>
  <si>
    <t>ORD200582</t>
  </si>
  <si>
    <t>70ef0d4f-fe44-4c21-860f-d272fab590fa</t>
  </si>
  <si>
    <t>ORD200583</t>
  </si>
  <si>
    <t>9ccdf7f2-13e3-4150-9b8b-16aa6cea3eb9</t>
  </si>
  <si>
    <t>ORD200584</t>
  </si>
  <si>
    <t>47fbbd02-ed91-4254-8575-8ed0934b5874</t>
  </si>
  <si>
    <t>ORD200585</t>
  </si>
  <si>
    <t>3724da24-86d1-421f-927f-757149b77f75</t>
  </si>
  <si>
    <t>ORD200586</t>
  </si>
  <si>
    <t>45da4cd3-2c2f-4f1d-8207-1138e63ca668</t>
  </si>
  <si>
    <t>ORD200587</t>
  </si>
  <si>
    <t>4d79cf34-39ba-49eb-93a1-5e7c6488cd0c</t>
  </si>
  <si>
    <t>ORD200588</t>
  </si>
  <si>
    <t>1a7a1c6b-e322-415b-b13d-5fe4b206cce7</t>
  </si>
  <si>
    <t>ORD200589</t>
  </si>
  <si>
    <t>fc8a1503-ce77-42bf-af85-20234b8a799d</t>
  </si>
  <si>
    <t>ORD200590</t>
  </si>
  <si>
    <t>57cd1e6b-b91b-4a10-bb95-9abf64e0aa89</t>
  </si>
  <si>
    <t>ORD200591</t>
  </si>
  <si>
    <t>3e781c8a-5219-40b8-ac41-8d770c25ed55</t>
  </si>
  <si>
    <t>ORD200592</t>
  </si>
  <si>
    <t>cd769882-8bd1-4442-b692-b5f6517f5c24</t>
  </si>
  <si>
    <t>ORD200593</t>
  </si>
  <si>
    <t>3852128e-ba06-45aa-ae07-1fc01482935d</t>
  </si>
  <si>
    <t>ORD200594</t>
  </si>
  <si>
    <t>6c2ba710-5b95-461d-9e98-fafd14a6c6f1</t>
  </si>
  <si>
    <t>ORD200595</t>
  </si>
  <si>
    <t>e74d71b6-cc6d-495d-952d-ae4a2e9640ac</t>
  </si>
  <si>
    <t>ORD200596</t>
  </si>
  <si>
    <t>a500e250-b5ef-4fff-bf3b-98d4b92ffc59</t>
  </si>
  <si>
    <t>ORD200597</t>
  </si>
  <si>
    <t>23e0da28-80f8-441f-bcbc-feeb0339669a</t>
  </si>
  <si>
    <t>ORD200598</t>
  </si>
  <si>
    <t>30ffeb09-004a-4e04-8198-c88f54471d19</t>
  </si>
  <si>
    <t>ORD200599</t>
  </si>
  <si>
    <t>6ec0634b-eb8f-41c1-8990-5debdcd1543a</t>
  </si>
  <si>
    <t>ORD200600</t>
  </si>
  <si>
    <t>6d4674e0-692e-4d6d-9264-e0942f250a05</t>
  </si>
  <si>
    <t>ORD200601</t>
  </si>
  <si>
    <t>099bb9bb-5adc-449d-bcf6-331635966a9f</t>
  </si>
  <si>
    <t>ORD200602</t>
  </si>
  <si>
    <t>2f76f98e-30f0-4ac6-a0aa-8961dbca987b</t>
  </si>
  <si>
    <t>ORD200603</t>
  </si>
  <si>
    <t>4d3248e7-1b42-44d9-8d24-78d3773c4227</t>
  </si>
  <si>
    <t>ORD200604</t>
  </si>
  <si>
    <t>6027f21e-6002-4a05-b383-f3be52f22098</t>
  </si>
  <si>
    <t>ORD200605</t>
  </si>
  <si>
    <t>bec1c931-799d-427d-ab5c-f30cae9283cc</t>
  </si>
  <si>
    <t>ORD200606</t>
  </si>
  <si>
    <t>ac00dd04-3160-4941-87ac-3109106bebd2</t>
  </si>
  <si>
    <t>ORD200607</t>
  </si>
  <si>
    <t>b1768c10-4ef1-4a79-8d2f-eac5c87aec41</t>
  </si>
  <si>
    <t>ORD200608</t>
  </si>
  <si>
    <t>8e668b88-66f3-4e6d-89b2-fa8ec0fd2c0b</t>
  </si>
  <si>
    <t>ORD200609</t>
  </si>
  <si>
    <t>7e10613f-7103-44a2-a23d-660c08c1b319</t>
  </si>
  <si>
    <t>ORD200610</t>
  </si>
  <si>
    <t>34efdbef-49bb-48bf-a7cf-2b639b93175b</t>
  </si>
  <si>
    <t>ORD200611</t>
  </si>
  <si>
    <t>13f52fba-0891-463e-ba4c-f2b59f366857</t>
  </si>
  <si>
    <t>ORD200612</t>
  </si>
  <si>
    <t>46dc6535-e380-40f4-8c18-a84b58aa67d2</t>
  </si>
  <si>
    <t>ORD200613</t>
  </si>
  <si>
    <t>0b50c2ae-5ad0-462a-8fb9-c44f232dcd32</t>
  </si>
  <si>
    <t>ORD200614</t>
  </si>
  <si>
    <t>f55ab1cd-b521-4a50-a1b2-2c9eaa190f9e</t>
  </si>
  <si>
    <t>ORD200615</t>
  </si>
  <si>
    <t>c44d7817-6a8a-47ad-af06-8b982e36c646</t>
  </si>
  <si>
    <t>ORD200616</t>
  </si>
  <si>
    <t>e13de20d-131d-4ee7-9b21-a7bf481f07cc</t>
  </si>
  <si>
    <t>ORD200617</t>
  </si>
  <si>
    <t>f5b73516-7da5-4057-940c-402dbfce8b1b</t>
  </si>
  <si>
    <t>ORD200618</t>
  </si>
  <si>
    <t>289686d4-81dc-4e86-a37f-5c4d9ab163a3</t>
  </si>
  <si>
    <t>ORD200619</t>
  </si>
  <si>
    <t>b9e77fd5-790c-4edf-b200-8794d83b12f3</t>
  </si>
  <si>
    <t>ORD200620</t>
  </si>
  <si>
    <t>eac901ed-8718-447f-8d3e-22466c73fcbb</t>
  </si>
  <si>
    <t>ORD200621</t>
  </si>
  <si>
    <t>1da049f3-2cb1-42f1-bf17-f2aee1dca8d2</t>
  </si>
  <si>
    <t>ORD200622</t>
  </si>
  <si>
    <t>8af15ac0-912f-4393-beb9-3857ce0d573b</t>
  </si>
  <si>
    <t>ORD200623</t>
  </si>
  <si>
    <t>b9d94652-ca37-4817-ae5e-309571e19d8e</t>
  </si>
  <si>
    <t>ORD200624</t>
  </si>
  <si>
    <t>5280441e-26f4-4af4-9ed5-ba271cea0528</t>
  </si>
  <si>
    <t>ORD200625</t>
  </si>
  <si>
    <t>ffed1cfb-11dc-4833-b5fc-25b80bf4de07</t>
  </si>
  <si>
    <t>ORD200626</t>
  </si>
  <si>
    <t>0cc7badc-7305-46fe-9d6a-ff99f801ff42</t>
  </si>
  <si>
    <t>ORD200627</t>
  </si>
  <si>
    <t>e7321d9e-d32e-4f21-a7b3-b34bd708557c</t>
  </si>
  <si>
    <t>ORD200628</t>
  </si>
  <si>
    <t>956fe29e-7e82-4058-ba2a-097783288d05</t>
  </si>
  <si>
    <t>ORD200629</t>
  </si>
  <si>
    <t>6fd052c0-b492-42d3-a13f-cbb44b24433a</t>
  </si>
  <si>
    <t>ORD200630</t>
  </si>
  <si>
    <t>301896ac-52c1-4a4d-b8ef-7a4a07ba6a97</t>
  </si>
  <si>
    <t>ORD200631</t>
  </si>
  <si>
    <t>ab8efb05-fc0e-48be-9a54-e0eeaba8072b</t>
  </si>
  <si>
    <t>ORD200632</t>
  </si>
  <si>
    <t>77f587d2-9857-43cc-bd1d-00bf8de768c7</t>
  </si>
  <si>
    <t>ORD200633</t>
  </si>
  <si>
    <t>85f55b87-f914-415a-a374-a18600b11c43</t>
  </si>
  <si>
    <t>ORD200634</t>
  </si>
  <si>
    <t>193021c8-559b-4f9e-ba74-1bd8526e30d6</t>
  </si>
  <si>
    <t>ORD200635</t>
  </si>
  <si>
    <t>cceed247-aa57-4ad0-9c7e-48c300b16b8d</t>
  </si>
  <si>
    <t>ORD200636</t>
  </si>
  <si>
    <t>0da91f76-4e1d-4019-afff-990945c5e246</t>
  </si>
  <si>
    <t>ORD200637</t>
  </si>
  <si>
    <t>46a8c98e-a9f1-4809-b246-f7e25acf8f1e</t>
  </si>
  <si>
    <t>ORD200638</t>
  </si>
  <si>
    <t>058c9e9c-70ad-475a-8149-5eb9367361ed</t>
  </si>
  <si>
    <t>ORD200639</t>
  </si>
  <si>
    <t>2dc9fbae-15d1-496f-a941-54f1751024df</t>
  </si>
  <si>
    <t>ORD200640</t>
  </si>
  <si>
    <t>f154161d-99bb-4df8-92a0-677a3e11b27b</t>
  </si>
  <si>
    <t>ORD200641</t>
  </si>
  <si>
    <t>6df37ac1-d6a8-4ffd-92ba-566f8923363a</t>
  </si>
  <si>
    <t>ORD200642</t>
  </si>
  <si>
    <t>b62b597d-a540-4047-845d-14732eb7beeb</t>
  </si>
  <si>
    <t>ORD200643</t>
  </si>
  <si>
    <t>e9e4e7a3-da6c-4f0f-8d84-a50eab2a05ff</t>
  </si>
  <si>
    <t>ORD200644</t>
  </si>
  <si>
    <t>bce76987-1aae-46de-b691-cc8de73b2f27</t>
  </si>
  <si>
    <t>ORD200645</t>
  </si>
  <si>
    <t>e943a7a9-fa5e-429a-acd8-75616982b190</t>
  </si>
  <si>
    <t>ORD200646</t>
  </si>
  <si>
    <t>5d98f019-d9e1-4a69-b2bb-7708798168ea</t>
  </si>
  <si>
    <t>ORD200647</t>
  </si>
  <si>
    <t>acabd736-916f-4a67-be34-d61a29bc19e0</t>
  </si>
  <si>
    <t>ORD200648</t>
  </si>
  <si>
    <t>be728f84-58a3-45f4-9e87-ce35df742300</t>
  </si>
  <si>
    <t>ORD200649</t>
  </si>
  <si>
    <t>0a8cc296-f12c-4100-9eeb-8fe01e7ab6a5</t>
  </si>
  <si>
    <t>ORD200650</t>
  </si>
  <si>
    <t>a46627d3-aac4-40e1-bf2f-0bbfdb1dc641</t>
  </si>
  <si>
    <t>ORD200651</t>
  </si>
  <si>
    <t>2d41d38f-3036-45d6-b1f1-16caebd2dae2</t>
  </si>
  <si>
    <t>ORD200652</t>
  </si>
  <si>
    <t>13d055d1-45ed-4221-a7e9-330f655195ce</t>
  </si>
  <si>
    <t>ORD200653</t>
  </si>
  <si>
    <t>ec084000-11b1-473c-861c-07da5c4b7953</t>
  </si>
  <si>
    <t>ORD200654</t>
  </si>
  <si>
    <t>5f14e32c-b391-4cf9-8f50-a2338f90cc50</t>
  </si>
  <si>
    <t>ORD200655</t>
  </si>
  <si>
    <t>364d090d-ddc2-47f3-8307-9f8be85beb84</t>
  </si>
  <si>
    <t>ORD200656</t>
  </si>
  <si>
    <t>70bb5cfa-d802-425d-aa78-0b292cf274af</t>
  </si>
  <si>
    <t>ORD200657</t>
  </si>
  <si>
    <t>eccfa910-4164-4908-84a7-54738683e07d</t>
  </si>
  <si>
    <t>ORD200658</t>
  </si>
  <si>
    <t>bc08c3e6-7831-432c-8001-46c6019c66be</t>
  </si>
  <si>
    <t>ORD200659</t>
  </si>
  <si>
    <t>ae0d4af3-6257-4f68-988e-076629041a02</t>
  </si>
  <si>
    <t>ORD200660</t>
  </si>
  <si>
    <t>715cfc2a-9d89-44f6-858f-0017d3462bac</t>
  </si>
  <si>
    <t>ORD200661</t>
  </si>
  <si>
    <t>9d904e46-1f20-4bea-b5b5-87b74cb6ddfe</t>
  </si>
  <si>
    <t>ORD200662</t>
  </si>
  <si>
    <t>ebc8fb1f-669c-4300-990d-fad4d535d298</t>
  </si>
  <si>
    <t>ORD200663</t>
  </si>
  <si>
    <t>18d73ef8-3e17-4efb-b1e8-74e08fb95e22</t>
  </si>
  <si>
    <t>ORD200664</t>
  </si>
  <si>
    <t>096189ef-cda4-43ff-b10e-eefe35540313</t>
  </si>
  <si>
    <t>ORD200665</t>
  </si>
  <si>
    <t>e13469c7-0b28-4ace-b62b-0e1e558e175e</t>
  </si>
  <si>
    <t>ORD200666</t>
  </si>
  <si>
    <t>dcc9b2e1-443b-426c-bd7d-6761316d396f</t>
  </si>
  <si>
    <t>ORD200667</t>
  </si>
  <si>
    <t>459a53a3-cdf4-47a7-b757-7b98a08848c3</t>
  </si>
  <si>
    <t>ORD200668</t>
  </si>
  <si>
    <t>d5ff23ae-c1cd-4e6a-bd13-22b34ff5bd81</t>
  </si>
  <si>
    <t>ORD200669</t>
  </si>
  <si>
    <t>bdf7a4ed-13e5-4049-a337-25a214571200</t>
  </si>
  <si>
    <t>ORD200670</t>
  </si>
  <si>
    <t>726a4d35-6534-424e-bc85-7a1252750373</t>
  </si>
  <si>
    <t>ORD200671</t>
  </si>
  <si>
    <t>7e5140c3-91b8-4ec2-b469-72ff819c14c1</t>
  </si>
  <si>
    <t>ORD200672</t>
  </si>
  <si>
    <t>a2622a86-bb2f-4dcf-86b0-037bfba372e0</t>
  </si>
  <si>
    <t>ORD200673</t>
  </si>
  <si>
    <t>1c270237-6bff-4fa7-bcf9-115d2a26a3f4</t>
  </si>
  <si>
    <t>ORD200674</t>
  </si>
  <si>
    <t>e0010d2e-b13c-4cf5-afbd-69fc36c02610</t>
  </si>
  <si>
    <t>ORD200675</t>
  </si>
  <si>
    <t>898eb882-ca5a-4b5e-8be6-fb2cd02c98cc</t>
  </si>
  <si>
    <t>ORD200676</t>
  </si>
  <si>
    <t>bda57368-f1a0-4c79-a256-48cbeb18cf4f</t>
  </si>
  <si>
    <t>ORD200677</t>
  </si>
  <si>
    <t>73dfb841-9dcb-4393-8c29-49387df63154</t>
  </si>
  <si>
    <t>ORD200678</t>
  </si>
  <si>
    <t>63b7b385-e842-4eeb-8176-515aeaab13ea</t>
  </si>
  <si>
    <t>ORD200679</t>
  </si>
  <si>
    <t>c157a341-7bfa-4a5c-bcbf-9e22b7d48660</t>
  </si>
  <si>
    <t>ORD200680</t>
  </si>
  <si>
    <t>28d2cef1-b422-471b-8681-891f4682027b</t>
  </si>
  <si>
    <t>ORD200681</t>
  </si>
  <si>
    <t>9bd93e22-c7a6-4f71-9893-890a55a47b31</t>
  </si>
  <si>
    <t>ORD200682</t>
  </si>
  <si>
    <t>ea92b24e-e665-46d7-a389-7264e9d412c9</t>
  </si>
  <si>
    <t>ORD200683</t>
  </si>
  <si>
    <t>3604f7f6-fccb-4f0d-ac1f-60c4ef06531b</t>
  </si>
  <si>
    <t>ORD200684</t>
  </si>
  <si>
    <t>84c7d4cc-7c28-44a7-981a-c1073e2d496d</t>
  </si>
  <si>
    <t>ORD200685</t>
  </si>
  <si>
    <t>aaf0ad12-e4df-4937-960a-66acdeb01c80</t>
  </si>
  <si>
    <t>ORD200686</t>
  </si>
  <si>
    <t>6d720b04-34e2-44ac-b98e-00a8adf6e993</t>
  </si>
  <si>
    <t>ORD200687</t>
  </si>
  <si>
    <t>18ebda5a-f361-4166-8d8f-f05a178717c6</t>
  </si>
  <si>
    <t>ORD200688</t>
  </si>
  <si>
    <t>560d7c01-236a-45b3-ab41-1ca82f86a20c</t>
  </si>
  <si>
    <t>ORD200689</t>
  </si>
  <si>
    <t>b76c6253-01d4-44af-9f21-2eddd4f6a981</t>
  </si>
  <si>
    <t>ORD200690</t>
  </si>
  <si>
    <t>cbae259f-f99a-47ad-ad8f-34ba7759bf6f</t>
  </si>
  <si>
    <t>ORD200691</t>
  </si>
  <si>
    <t>83572734-5bf4-441f-864a-3233458d9bff</t>
  </si>
  <si>
    <t>ORD200692</t>
  </si>
  <si>
    <t>0f808ba8-2426-415f-9cef-8467886188ff</t>
  </si>
  <si>
    <t>ORD200693</t>
  </si>
  <si>
    <t>e129a552-e99c-449b-9d74-52610b82e47d</t>
  </si>
  <si>
    <t>ORD200694</t>
  </si>
  <si>
    <t>a50f85f4-22aa-4b06-b66f-ea2c20b1aae6</t>
  </si>
  <si>
    <t>ORD200695</t>
  </si>
  <si>
    <t>49e5bea8-41a9-4572-bcc8-b6aed2012529</t>
  </si>
  <si>
    <t>ORD200696</t>
  </si>
  <si>
    <t>5f449c18-009f-4d58-a369-40f4baa461bf</t>
  </si>
  <si>
    <t>ORD200697</t>
  </si>
  <si>
    <t>f410afa8-6c1a-457d-8a93-c98842e1a4a7</t>
  </si>
  <si>
    <t>ORD200698</t>
  </si>
  <si>
    <t>c4f94f4b-2ab1-4fb8-bb72-a88c009225e2</t>
  </si>
  <si>
    <t>ORD200699</t>
  </si>
  <si>
    <t>e9105451-37a5-4b81-84df-8918fb959fac</t>
  </si>
  <si>
    <t>ORD200700</t>
  </si>
  <si>
    <t>9f8ba93b-e319-48b4-8131-e19e9c168b8f</t>
  </si>
  <si>
    <t>ORD200701</t>
  </si>
  <si>
    <t>dac13585-6894-40fa-8650-3a503c59ee2e</t>
  </si>
  <si>
    <t>ORD200702</t>
  </si>
  <si>
    <t>38c3efdc-6019-444d-921a-bc8dfdd23c9a</t>
  </si>
  <si>
    <t>ORD200703</t>
  </si>
  <si>
    <t>3c854de7-4395-4b7b-a581-f3ee0ad4dc8a</t>
  </si>
  <si>
    <t>ORD200704</t>
  </si>
  <si>
    <t>d92a7d61-c657-42d5-b609-d7afc0c9f723</t>
  </si>
  <si>
    <t>ORD200705</t>
  </si>
  <si>
    <t>e7a29cff-970e-453d-93e3-9846300caba7</t>
  </si>
  <si>
    <t>ORD200706</t>
  </si>
  <si>
    <t>9abccfd5-cb45-42dd-aee2-3548dc089dd0</t>
  </si>
  <si>
    <t>ORD200707</t>
  </si>
  <si>
    <t>1bc1cf5f-4dcd-4b0b-9d21-f0b66bda6dfd</t>
  </si>
  <si>
    <t>ORD200708</t>
  </si>
  <si>
    <t>006c541d-a168-4ea0-b635-f06ea8ccf9e1</t>
  </si>
  <si>
    <t>ORD200709</t>
  </si>
  <si>
    <t>c436160b-5f48-4925-8ca7-60984395fa4d</t>
  </si>
  <si>
    <t>ORD200710</t>
  </si>
  <si>
    <t>5f996364-13e4-4245-a26d-aad29c8c7b3f</t>
  </si>
  <si>
    <t>ORD200711</t>
  </si>
  <si>
    <t>16099082-1dee-40dd-a6c3-740ddc96c563</t>
  </si>
  <si>
    <t>ORD200712</t>
  </si>
  <si>
    <t>e898e043-04c2-4b30-9629-664e6053eb0c</t>
  </si>
  <si>
    <t>ORD200713</t>
  </si>
  <si>
    <t>159ba6b0-5eb6-4b95-abfc-ad01ec05a65e</t>
  </si>
  <si>
    <t>ORD200714</t>
  </si>
  <si>
    <t>a6237339-aa3a-44ab-a5a4-858071f70867</t>
  </si>
  <si>
    <t>ORD200715</t>
  </si>
  <si>
    <t>20ad9b7a-70cf-4c8a-81a3-2d806a3e6523</t>
  </si>
  <si>
    <t>ORD200716</t>
  </si>
  <si>
    <t>8bd1119e-ae77-4ca7-a29d-74aa2d87f486</t>
  </si>
  <si>
    <t>ORD200717</t>
  </si>
  <si>
    <t>9454281b-f070-4318-b5aa-914f9f3254ed</t>
  </si>
  <si>
    <t>ORD200718</t>
  </si>
  <si>
    <t>edf20763-f893-457c-a439-67f1facc57c4</t>
  </si>
  <si>
    <t>ORD200719</t>
  </si>
  <si>
    <t>ed5d9015-be1d-4875-b9a1-3e4b1783abd0</t>
  </si>
  <si>
    <t>ORD200720</t>
  </si>
  <si>
    <t>fd01126c-223c-4318-bf96-1266c188f4c0</t>
  </si>
  <si>
    <t>ORD200721</t>
  </si>
  <si>
    <t>b0de7b75-2bcd-4d06-9a24-96d878882499</t>
  </si>
  <si>
    <t>ORD200722</t>
  </si>
  <si>
    <t>1678d4a9-87d9-432e-9c9c-80f06302b54c</t>
  </si>
  <si>
    <t>ORD200723</t>
  </si>
  <si>
    <t>329dc560-cb51-4d55-a375-47b9f444ff98</t>
  </si>
  <si>
    <t>ORD200724</t>
  </si>
  <si>
    <t>b0fe2d0e-97aa-4542-9cf0-3e343b7a95b4</t>
  </si>
  <si>
    <t>ORD200725</t>
  </si>
  <si>
    <t>6d3d0bff-7e23-414b-9f7b-2538b57b259b</t>
  </si>
  <si>
    <t>ORD200726</t>
  </si>
  <si>
    <t>c1856b30-223a-4c32-a43f-d4d960aebf18</t>
  </si>
  <si>
    <t>ORD200727</t>
  </si>
  <si>
    <t>e2f1d531-a529-4950-8e1e-29927a04ca5f</t>
  </si>
  <si>
    <t>ORD200728</t>
  </si>
  <si>
    <t>b865ee3e-b020-4850-8411-e87b81d29fb3</t>
  </si>
  <si>
    <t>ORD200729</t>
  </si>
  <si>
    <t>db1a09e2-62f5-4e5f-94de-7627b8234f68</t>
  </si>
  <si>
    <t>ORD200730</t>
  </si>
  <si>
    <t>8a531758-bab2-4884-84c4-c70e969e15c5</t>
  </si>
  <si>
    <t>ORD200731</t>
  </si>
  <si>
    <t>9ad09292-93d3-428e-81fa-c56e0302d0d6</t>
  </si>
  <si>
    <t>ORD200732</t>
  </si>
  <si>
    <t>2df6dd49-fd6b-41dd-a93f-769c9c2e8f9f</t>
  </si>
  <si>
    <t>ORD200733</t>
  </si>
  <si>
    <t>26a357b1-53f8-4e1b-8e77-2d0e8eda1115</t>
  </si>
  <si>
    <t>ORD200734</t>
  </si>
  <si>
    <t>cdbe7f61-e29d-4c78-9101-5f89bc6cbeb4</t>
  </si>
  <si>
    <t>ORD200735</t>
  </si>
  <si>
    <t>c7d5d1bf-b658-410d-8eed-aa925298af89</t>
  </si>
  <si>
    <t>ORD200736</t>
  </si>
  <si>
    <t>f04f2565-6027-4159-b2e4-8f939784b669</t>
  </si>
  <si>
    <t>ORD200737</t>
  </si>
  <si>
    <t>ee89b711-bce5-4520-a1dd-48ffb27e46b9</t>
  </si>
  <si>
    <t>ORD200738</t>
  </si>
  <si>
    <t>4bdebd03-24b4-410a-9b98-dda690082694</t>
  </si>
  <si>
    <t>ORD200739</t>
  </si>
  <si>
    <t>43d73ab5-077b-445d-8c2c-56912bccf851</t>
  </si>
  <si>
    <t>ORD200740</t>
  </si>
  <si>
    <t>9bf747de-e9f9-4e3e-8182-9d8ea5aefc2e</t>
  </si>
  <si>
    <t>ORD200741</t>
  </si>
  <si>
    <t>ed7ad308-7344-4b9a-b0af-e3da2bcc3c85</t>
  </si>
  <si>
    <t>ORD200742</t>
  </si>
  <si>
    <t>c8c39349-7fae-4fd7-b925-41c24ba5bd5b</t>
  </si>
  <si>
    <t>ORD200743</t>
  </si>
  <si>
    <t>9d755cc9-85bc-4782-848e-b2355b71985d</t>
  </si>
  <si>
    <t>ORD200744</t>
  </si>
  <si>
    <t>f884dfb3-d871-4a46-8f81-db1e91611e74</t>
  </si>
  <si>
    <t>ORD200745</t>
  </si>
  <si>
    <t>761d41ea-a5d2-4da6-953e-d57e08f1c125</t>
  </si>
  <si>
    <t>ORD200746</t>
  </si>
  <si>
    <t>9ce3b2e6-c32b-4bc7-9fb4-cc9c0287e719</t>
  </si>
  <si>
    <t>ORD200747</t>
  </si>
  <si>
    <t>586bd132-1800-48b7-81eb-de2ea5decc5d</t>
  </si>
  <si>
    <t>ORD200748</t>
  </si>
  <si>
    <t>b3022510-c623-4646-8c71-b725ee7a95df</t>
  </si>
  <si>
    <t>ORD200749</t>
  </si>
  <si>
    <t>11ca224a-adc8-4cbe-8aef-67b898e3f24d</t>
  </si>
  <si>
    <t>ORD200750</t>
  </si>
  <si>
    <t>0678e690-6345-4a0d-a0dd-27feac564444</t>
  </si>
  <si>
    <t>ORD200751</t>
  </si>
  <si>
    <t>196afa7a-243d-4d83-8cef-fc34decb55c5</t>
  </si>
  <si>
    <t>ORD200752</t>
  </si>
  <si>
    <t>2f2de2f7-92cc-4ca3-9acf-ebe984b917bf</t>
  </si>
  <si>
    <t>ORD200753</t>
  </si>
  <si>
    <t>b9401e4b-92b8-420f-9af3-d99388a19ead</t>
  </si>
  <si>
    <t>ORD200754</t>
  </si>
  <si>
    <t>39340ec5-b90d-47bd-abe0-1e0892d24ee5</t>
  </si>
  <si>
    <t>ORD200755</t>
  </si>
  <si>
    <t>6ea99e4c-21ef-46b3-9d3b-ba024556244b</t>
  </si>
  <si>
    <t>ORD200756</t>
  </si>
  <si>
    <t>1ca63197-e705-4c4c-a4d3-8d4f49c4f918</t>
  </si>
  <si>
    <t>ORD200757</t>
  </si>
  <si>
    <t>df3e81f3-575e-46e9-b0b8-a08070073e4f</t>
  </si>
  <si>
    <t>ORD200758</t>
  </si>
  <si>
    <t>ad667f43-8c96-4df9-ad88-0e40656acfb2</t>
  </si>
  <si>
    <t>ORD200759</t>
  </si>
  <si>
    <t>85bb390a-043f-40bf-be08-1a8dd3e6fdbf</t>
  </si>
  <si>
    <t>ORD200760</t>
  </si>
  <si>
    <t>2fbd5583-1271-4691-9182-9af55820bbe0</t>
  </si>
  <si>
    <t>ORD200761</t>
  </si>
  <si>
    <t>f424c800-64cd-4451-8548-65d658f1c43c</t>
  </si>
  <si>
    <t>ORD200762</t>
  </si>
  <si>
    <t>c84d1767-ab9b-45f3-b0aa-5a18b5da7470</t>
  </si>
  <si>
    <t>ORD200763</t>
  </si>
  <si>
    <t>1babf2fb-92be-4cb3-871e-fc6983bebb58</t>
  </si>
  <si>
    <t>ORD200764</t>
  </si>
  <si>
    <t>d59c5661-bcd3-439a-a8a7-28b0363a9681</t>
  </si>
  <si>
    <t>ORD200765</t>
  </si>
  <si>
    <t>f1b103db-8f8d-4131-942b-f7019bceb9d8</t>
  </si>
  <si>
    <t>ORD200766</t>
  </si>
  <si>
    <t>30f1136d-05c4-481d-948c-0fb5d2f4d244</t>
  </si>
  <si>
    <t>ORD200767</t>
  </si>
  <si>
    <t>aff0480f-9ca7-4281-92e0-3c89db38eb14</t>
  </si>
  <si>
    <t>ORD200768</t>
  </si>
  <si>
    <t>1fd14a50-6807-45c0-93be-9f0a8afc7be4</t>
  </si>
  <si>
    <t>ORD200769</t>
  </si>
  <si>
    <t>d40d7ed0-ded3-4425-bacf-217cb1edd42f</t>
  </si>
  <si>
    <t>ORD200770</t>
  </si>
  <si>
    <t>71a9eb1c-2bf8-4ba5-bb12-45705d4e7b1d</t>
  </si>
  <si>
    <t>ORD200771</t>
  </si>
  <si>
    <t>72d9b93f-621e-47b4-bf8c-1e81820c0d4f</t>
  </si>
  <si>
    <t>ORD200772</t>
  </si>
  <si>
    <t>b2f0b92f-f2de-470e-81d4-d09512d1716e</t>
  </si>
  <si>
    <t>ORD200773</t>
  </si>
  <si>
    <t>99b44342-7cdc-44a0-9745-0dbd5cca0028</t>
  </si>
  <si>
    <t>ORD200774</t>
  </si>
  <si>
    <t>4574f714-220e-4afc-bc98-531a15f13f90</t>
  </si>
  <si>
    <t>ORD200775</t>
  </si>
  <si>
    <t>65fcd815-81a8-4da3-a4b7-ea722c89901e</t>
  </si>
  <si>
    <t>ORD200776</t>
  </si>
  <si>
    <t>8cf873c7-54f1-4358-908d-a54d49318fe2</t>
  </si>
  <si>
    <t>ORD200777</t>
  </si>
  <si>
    <t>ef354a63-8f30-4824-a6ec-becb77f7be0b</t>
  </si>
  <si>
    <t>ORD200778</t>
  </si>
  <si>
    <t>f7a72d1e-b3b9-4a92-b749-a0827c5458f8</t>
  </si>
  <si>
    <t>ORD200779</t>
  </si>
  <si>
    <t>94623751-c78f-4dc6-a92c-a95e9571c78a</t>
  </si>
  <si>
    <t>ORD200780</t>
  </si>
  <si>
    <t>9f513b0a-a22f-41da-a01b-86637ede0fd3</t>
  </si>
  <si>
    <t>ORD200781</t>
  </si>
  <si>
    <t>f10b84a6-8a97-475d-9b77-e9570c6d1fb0</t>
  </si>
  <si>
    <t>ORD200782</t>
  </si>
  <si>
    <t>fad05111-0add-47b1-80d6-6e2940146e42</t>
  </si>
  <si>
    <t>ORD200783</t>
  </si>
  <si>
    <t>774c1b63-74d8-40ce-ac67-3ad098bada22</t>
  </si>
  <si>
    <t>ORD200784</t>
  </si>
  <si>
    <t>0f3cc831-ed40-4136-a4de-4ad182ae7c00</t>
  </si>
  <si>
    <t>ORD200785</t>
  </si>
  <si>
    <t>89780ac2-aa9a-431b-af31-48e6d0526856</t>
  </si>
  <si>
    <t>ORD200786</t>
  </si>
  <si>
    <t>0affa134-9544-4fa0-839a-ec3a6b2df7a3</t>
  </si>
  <si>
    <t>ORD200787</t>
  </si>
  <si>
    <t>8e81eea0-cec2-4246-be30-c73a898a8ba0</t>
  </si>
  <si>
    <t>ORD200788</t>
  </si>
  <si>
    <t>d0252b6a-4ec6-4609-85eb-9ce50a4a147e</t>
  </si>
  <si>
    <t>ORD200789</t>
  </si>
  <si>
    <t>b5743c98-86f5-433d-bca6-dbe11364952e</t>
  </si>
  <si>
    <t>ORD200790</t>
  </si>
  <si>
    <t>6991a312-e89d-43b5-b19b-77ffec547e64</t>
  </si>
  <si>
    <t>ORD200791</t>
  </si>
  <si>
    <t>db1f19b3-37eb-4903-a227-0d34fe06cbef</t>
  </si>
  <si>
    <t>ORD200792</t>
  </si>
  <si>
    <t>1d601146-3d91-4169-8b8c-4f7e1ccf7ae1</t>
  </si>
  <si>
    <t>ORD200793</t>
  </si>
  <si>
    <t>d6560082-7abf-4782-a4ea-4c10b7b67af7</t>
  </si>
  <si>
    <t>ORD200794</t>
  </si>
  <si>
    <t>2c7984cc-2b97-4120-a6a5-6a483b03c9fd</t>
  </si>
  <si>
    <t>ORD200795</t>
  </si>
  <si>
    <t>7814bad1-8a3f-4015-829d-6f04960a49d2</t>
  </si>
  <si>
    <t>ORD200796</t>
  </si>
  <si>
    <t>abf36900-6e7f-44fb-bc79-02d65d8fd2d9</t>
  </si>
  <si>
    <t>ORD200797</t>
  </si>
  <si>
    <t>5b76ab88-6a2c-437f-8dd2-8fdf226fa455</t>
  </si>
  <si>
    <t>ORD200798</t>
  </si>
  <si>
    <t>75a7c801-f69a-424b-b014-0f4c951fd44d</t>
  </si>
  <si>
    <t>ORD200799</t>
  </si>
  <si>
    <t>b3443164-bbe0-40a5-9620-4937e909c277</t>
  </si>
  <si>
    <t>ORD200800</t>
  </si>
  <si>
    <t>503e07db-53eb-41b1-add1-45aa9671fb17</t>
  </si>
  <si>
    <t>ORD200801</t>
  </si>
  <si>
    <t>05c68ce4-e6ab-4a84-9c62-594dc23d2fd3</t>
  </si>
  <si>
    <t>ORD200802</t>
  </si>
  <si>
    <t>e6389631-d12b-4311-aa83-517345802d02</t>
  </si>
  <si>
    <t>ORD200803</t>
  </si>
  <si>
    <t>f8de117a-ae9e-403e-901b-f5151e6e10a8</t>
  </si>
  <si>
    <t>ORD200804</t>
  </si>
  <si>
    <t>d8b3ac30-a269-4ef7-b77b-9aceec2f7495</t>
  </si>
  <si>
    <t>ORD200805</t>
  </si>
  <si>
    <t>46bbc951-5bfe-473c-97c7-2c5a9fea636e</t>
  </si>
  <si>
    <t>ORD200806</t>
  </si>
  <si>
    <t>a9dde5e4-f094-48b1-ba94-18415afdec86</t>
  </si>
  <si>
    <t>ORD200807</t>
  </si>
  <si>
    <t>94aa70d9-888f-4c82-bc2f-00b38dc5492a</t>
  </si>
  <si>
    <t>ORD200808</t>
  </si>
  <si>
    <t>1389605a-708b-41d0-8a10-ce6c96347ab8</t>
  </si>
  <si>
    <t>ORD200809</t>
  </si>
  <si>
    <t>2266aec6-9aec-47cf-a408-94ba094b042f</t>
  </si>
  <si>
    <t>ORD200810</t>
  </si>
  <si>
    <t>143be316-96da-4799-aeca-dd1445853234</t>
  </si>
  <si>
    <t>ORD200811</t>
  </si>
  <si>
    <t>6ad154a3-a66f-4edc-a5bb-4558991e40db</t>
  </si>
  <si>
    <t>ORD200812</t>
  </si>
  <si>
    <t>e5186781-a0c6-4df4-b2e4-a85614fd1021</t>
  </si>
  <si>
    <t>ORD200813</t>
  </si>
  <si>
    <t>f0f5395f-b939-4921-9126-8c65f0547e43</t>
  </si>
  <si>
    <t>ORD200814</t>
  </si>
  <si>
    <t>80271b49-8039-4940-a8eb-badd2046cb15</t>
  </si>
  <si>
    <t>ORD200815</t>
  </si>
  <si>
    <t>3f4d6122-4d7c-4bfd-b3bf-29c41ec19e39</t>
  </si>
  <si>
    <t>ORD200816</t>
  </si>
  <si>
    <t>8a3a2986-7f30-4ad6-8251-68a73542cde5</t>
  </si>
  <si>
    <t>ORD200817</t>
  </si>
  <si>
    <t>157e71f5-a4b0-4e18-ac3c-72daf6067af9</t>
  </si>
  <si>
    <t>ORD200818</t>
  </si>
  <si>
    <t>16259369-064e-4865-ab6f-a6631f067587</t>
  </si>
  <si>
    <t>ORD200819</t>
  </si>
  <si>
    <t>c157bd41-c78d-49b1-8a45-28bbeaafa91d</t>
  </si>
  <si>
    <t>ORD200820</t>
  </si>
  <si>
    <t>e4ff5b27-be54-439f-9b8e-567dd90c87f3</t>
  </si>
  <si>
    <t>ORD200821</t>
  </si>
  <si>
    <t>04ea9cc2-39f1-4076-82db-b45331900f7e</t>
  </si>
  <si>
    <t>ORD200822</t>
  </si>
  <si>
    <t>c280fe69-8d0e-4f94-8170-2bbfa7ca6a66</t>
  </si>
  <si>
    <t>ORD200823</t>
  </si>
  <si>
    <t>29ed1d9f-188d-4950-a56a-a6db6fae831b</t>
  </si>
  <si>
    <t>ORD200824</t>
  </si>
  <si>
    <t>354abac3-3434-449f-8fd0-3059cb113487</t>
  </si>
  <si>
    <t>ORD200825</t>
  </si>
  <si>
    <t>34a6070a-1923-4f6d-b2d9-152fcbfe7e6d</t>
  </si>
  <si>
    <t>ORD200826</t>
  </si>
  <si>
    <t>b866a4cd-a45e-469a-9423-53d82956268a</t>
  </si>
  <si>
    <t>ORD200827</t>
  </si>
  <si>
    <t>d5d06bf5-5d59-4f02-b717-e0c8f81dbb01</t>
  </si>
  <si>
    <t>ORD200828</t>
  </si>
  <si>
    <t>a27d74bb-0eba-47e1-9820-09b988b11fe5</t>
  </si>
  <si>
    <t>ORD200829</t>
  </si>
  <si>
    <t>5607aa02-1826-4c85-851a-c91a3e6dbdc3</t>
  </si>
  <si>
    <t>ORD200830</t>
  </si>
  <si>
    <t>95338d4a-c0f5-4605-8a89-08a1054051bc</t>
  </si>
  <si>
    <t>ORD200831</t>
  </si>
  <si>
    <t>301dadbf-21a6-4e59-8336-731fa3fc4569</t>
  </si>
  <si>
    <t>ORD200832</t>
  </si>
  <si>
    <t>d6c74202-ad24-4463-9fc3-6338a3de134e</t>
  </si>
  <si>
    <t>ORD200833</t>
  </si>
  <si>
    <t>dbb784f2-faca-4190-be3b-de937750f06a</t>
  </si>
  <si>
    <t>ORD200834</t>
  </si>
  <si>
    <t>4db1440b-47d3-48a7-8862-02040996fc56</t>
  </si>
  <si>
    <t>ORD200835</t>
  </si>
  <si>
    <t>8fd49c0e-583e-4f3b-8e9c-8f0a5138fd91</t>
  </si>
  <si>
    <t>ORD200836</t>
  </si>
  <si>
    <t>3985e860-a205-4ca3-8a70-3f7062bc9f6c</t>
  </si>
  <si>
    <t>ORD200837</t>
  </si>
  <si>
    <t>4f27e375-271d-493a-8c7a-51031a26cbb2</t>
  </si>
  <si>
    <t>ORD200838</t>
  </si>
  <si>
    <t>707162b6-da90-42b5-8ace-996cc7d072bd</t>
  </si>
  <si>
    <t>ORD200839</t>
  </si>
  <si>
    <t>b0529fa2-f7bd-42b1-ab45-720846b45fd9</t>
  </si>
  <si>
    <t>ORD200840</t>
  </si>
  <si>
    <t>7962cb2c-7d25-4b0e-9440-b137a455de55</t>
  </si>
  <si>
    <t>ORD200841</t>
  </si>
  <si>
    <t>986822af-fd15-4eec-b218-b3a9f0020ff1</t>
  </si>
  <si>
    <t>ORD200842</t>
  </si>
  <si>
    <t>5fa08f1a-d8d2-47cd-b3fb-69c03483a4e6</t>
  </si>
  <si>
    <t>ORD200843</t>
  </si>
  <si>
    <t>d35d45ea-4938-47f5-a00c-74e4cf6eaf92</t>
  </si>
  <si>
    <t>ORD200844</t>
  </si>
  <si>
    <t>1931a6b7-4be5-4bb8-9d52-3d1fa403abc3</t>
  </si>
  <si>
    <t>ORD200845</t>
  </si>
  <si>
    <t>59538ff6-4626-4c67-8c50-80412164640c</t>
  </si>
  <si>
    <t>ORD200846</t>
  </si>
  <si>
    <t>5b8db3dc-fd26-4836-b645-3e7d6f50e1f9</t>
  </si>
  <si>
    <t>ORD200847</t>
  </si>
  <si>
    <t>79752680-7d05-48ce-8817-da660081c760</t>
  </si>
  <si>
    <t>ORD200848</t>
  </si>
  <si>
    <t>569b1e7a-ae62-4581-9da8-4771c4627d42</t>
  </si>
  <si>
    <t>ORD200849</t>
  </si>
  <si>
    <t>4c2970bc-354d-4488-9a68-82e9d1b4db27</t>
  </si>
  <si>
    <t>ORD200850</t>
  </si>
  <si>
    <t>a32b2f63-a489-42e7-aac4-1603329712dd</t>
  </si>
  <si>
    <t>ORD200851</t>
  </si>
  <si>
    <t>c390ebf6-ca85-4f5b-ae4f-a6dae8419576</t>
  </si>
  <si>
    <t>ORD200852</t>
  </si>
  <si>
    <t>a5821315-babc-4fdf-b19f-e582397ad46a</t>
  </si>
  <si>
    <t>ORD200853</t>
  </si>
  <si>
    <t>284010f4-fe75-497e-96a4-0130131478d2</t>
  </si>
  <si>
    <t>ORD200854</t>
  </si>
  <si>
    <t>b272a83b-c292-4ac2-9559-fb28b45813dc</t>
  </si>
  <si>
    <t>ORD200855</t>
  </si>
  <si>
    <t>fed8b146-1e28-40a8-af68-af03d51f1e90</t>
  </si>
  <si>
    <t>ORD200856</t>
  </si>
  <si>
    <t>59f6a123-da90-4d74-9e30-cd6824632c87</t>
  </si>
  <si>
    <t>ORD200857</t>
  </si>
  <si>
    <t>d72d52e0-094b-4d5c-8859-2abb375ddaa2</t>
  </si>
  <si>
    <t>ORD200858</t>
  </si>
  <si>
    <t>7d12b4b0-2e2e-4fe8-82e5-fd7273952675</t>
  </si>
  <si>
    <t>ORD200859</t>
  </si>
  <si>
    <t>9e2eb770-cb84-48f4-9d86-68755c08a816</t>
  </si>
  <si>
    <t>ORD200860</t>
  </si>
  <si>
    <t>37a7adec-6089-4a3a-8aa2-bdd8733c218a</t>
  </si>
  <si>
    <t>ORD200861</t>
  </si>
  <si>
    <t>a0b00d51-3f08-47dc-858c-9fb84aca9334</t>
  </si>
  <si>
    <t>ORD200862</t>
  </si>
  <si>
    <t>86d880ca-0604-440a-94c2-e0bc179fd27d</t>
  </si>
  <si>
    <t>ORD200863</t>
  </si>
  <si>
    <t>e6ef4e89-d666-471d-9564-59f1c7d66c27</t>
  </si>
  <si>
    <t>ORD200864</t>
  </si>
  <si>
    <t>38f48c5c-2b5a-41ef-9f47-268ddbf0523c</t>
  </si>
  <si>
    <t>ORD200865</t>
  </si>
  <si>
    <t>ea8dc299-dc53-41af-9440-92594fff0a8f</t>
  </si>
  <si>
    <t>ORD200866</t>
  </si>
  <si>
    <t>783755fb-ff5d-4600-9303-2bea0506459d</t>
  </si>
  <si>
    <t>ORD200867</t>
  </si>
  <si>
    <t>fe1c31de-7b17-425d-a1cc-100f651c347f</t>
  </si>
  <si>
    <t>ORD200868</t>
  </si>
  <si>
    <t>0b88ac93-c5b6-4b08-bf84-b5a61c117699</t>
  </si>
  <si>
    <t>ORD200869</t>
  </si>
  <si>
    <t>26fc102d-219f-4782-a0b4-42bdcd47a9c1</t>
  </si>
  <si>
    <t>ORD200870</t>
  </si>
  <si>
    <t>3efa9a6c-5ac5-4782-afbf-cad262610bc9</t>
  </si>
  <si>
    <t>ORD200871</t>
  </si>
  <si>
    <t>1646ef62-05d2-4295-804d-c00812804ab3</t>
  </si>
  <si>
    <t>ORD200872</t>
  </si>
  <si>
    <t>f8c47a1d-317a-46d3-8a0c-8875fff29591</t>
  </si>
  <si>
    <t>ORD200873</t>
  </si>
  <si>
    <t>13b8dfa4-f55b-4159-b203-0f18973f3aae</t>
  </si>
  <si>
    <t>ORD200874</t>
  </si>
  <si>
    <t>27fe75e8-45cf-4b5f-86e0-ca692cc03513</t>
  </si>
  <si>
    <t>ORD200875</t>
  </si>
  <si>
    <t>b0bc2001-16e9-467b-9683-4e664570e87c</t>
  </si>
  <si>
    <t>ORD200876</t>
  </si>
  <si>
    <t>03b9758a-6f4b-4c19-8c5b-4e0677fbb49c</t>
  </si>
  <si>
    <t>ORD200877</t>
  </si>
  <si>
    <t>788a2afe-2fdf-4787-a830-35f5a537f0f2</t>
  </si>
  <si>
    <t>ORD200878</t>
  </si>
  <si>
    <t>3767fa00-2fbb-434d-b721-66ae5fd8ad38</t>
  </si>
  <si>
    <t>ORD200879</t>
  </si>
  <si>
    <t>48f99ffb-4f0a-4d61-87a4-c2bed0d9f967</t>
  </si>
  <si>
    <t>ORD200880</t>
  </si>
  <si>
    <t>9e07b4e0-c20e-4bbf-b257-a6fbbb10f5c1</t>
  </si>
  <si>
    <t>ORD200881</t>
  </si>
  <si>
    <t>2ac2ac32-ec7f-4d9f-a878-21646a94a9fb</t>
  </si>
  <si>
    <t>ORD200882</t>
  </si>
  <si>
    <t>668ebfda-6c62-48d3-ab14-e1f7a009a2f0</t>
  </si>
  <si>
    <t>ORD200883</t>
  </si>
  <si>
    <t>1b3f8dea-3105-4113-b98e-5d6335b343f6</t>
  </si>
  <si>
    <t>ORD200884</t>
  </si>
  <si>
    <t>2238ddf7-4e83-44f2-826d-8ee3277845ac</t>
  </si>
  <si>
    <t>ORD200885</t>
  </si>
  <si>
    <t>76e2af51-5ae4-4946-b2b0-db12e14ca723</t>
  </si>
  <si>
    <t>ORD200886</t>
  </si>
  <si>
    <t>903c1968-749f-4942-92cf-052bcf1d9544</t>
  </si>
  <si>
    <t>ORD200887</t>
  </si>
  <si>
    <t>b17c3083-bead-4177-ba7f-b2537e5fce55</t>
  </si>
  <si>
    <t>ORD200888</t>
  </si>
  <si>
    <t>50c4eb50-5fc4-451a-90d0-948709c03642</t>
  </si>
  <si>
    <t>ORD200889</t>
  </si>
  <si>
    <t>75b8248e-5510-49bb-9bcb-0deaf016d344</t>
  </si>
  <si>
    <t>ORD200890</t>
  </si>
  <si>
    <t>0ea1c9cc-d424-45d8-9dc1-67fd2a16c375</t>
  </si>
  <si>
    <t>ORD200891</t>
  </si>
  <si>
    <t>567d00cd-10b4-46a6-9a91-357a66b1782d</t>
  </si>
  <si>
    <t>ORD200892</t>
  </si>
  <si>
    <t>f7588686-cb34-4c0d-b814-02d05f195737</t>
  </si>
  <si>
    <t>ORD200893</t>
  </si>
  <si>
    <t>78c8228b-e318-4117-99de-865026bebc07</t>
  </si>
  <si>
    <t>ORD200894</t>
  </si>
  <si>
    <t>4d7e01c7-f6c8-42bd-b51c-7869421bba72</t>
  </si>
  <si>
    <t>ORD200895</t>
  </si>
  <si>
    <t>1355840a-4518-4acc-897a-b107102b14d1</t>
  </si>
  <si>
    <t>ORD200896</t>
  </si>
  <si>
    <t>de61132a-9669-4e7d-b7e6-25ced35f6b79</t>
  </si>
  <si>
    <t>ORD200897</t>
  </si>
  <si>
    <t>ad86a3c9-4e20-4757-a8ef-6d19b61eff51</t>
  </si>
  <si>
    <t>ORD200898</t>
  </si>
  <si>
    <t>183968c8-09b5-4a24-9c7f-9ba8d36f91b8</t>
  </si>
  <si>
    <t>ORD200899</t>
  </si>
  <si>
    <t>5bd51eaa-53aa-419b-9e15-bc4a74517c21</t>
  </si>
  <si>
    <t>ORD200900</t>
  </si>
  <si>
    <t>875726da-3ecc-4f8e-ab7e-9dc9cb8ba7fa</t>
  </si>
  <si>
    <t>ORD200901</t>
  </si>
  <si>
    <t>36342b4d-b934-49c0-81e8-07d2d2fea7e5</t>
  </si>
  <si>
    <t>ORD200902</t>
  </si>
  <si>
    <t>abd83f87-bef7-4970-9b30-67e477a4b744</t>
  </si>
  <si>
    <t>ORD200903</t>
  </si>
  <si>
    <t>1a9173cd-e897-41c7-9efe-cf121f07e607</t>
  </si>
  <si>
    <t>ORD200904</t>
  </si>
  <si>
    <t>42be8b8f-1b42-4ee5-9d7a-a7ffdd13197b</t>
  </si>
  <si>
    <t>ORD200905</t>
  </si>
  <si>
    <t>5b866f0a-bb6d-4f52-89af-c6947317ae9f</t>
  </si>
  <si>
    <t>ORD200906</t>
  </si>
  <si>
    <t>df37a54e-1afb-4246-88f2-b789e1247b9e</t>
  </si>
  <si>
    <t>ORD200907</t>
  </si>
  <si>
    <t>34393d60-a024-49b0-8601-2c4a11c75bcd</t>
  </si>
  <si>
    <t>ORD200908</t>
  </si>
  <si>
    <t>d8b6e652-15ae-42ae-85fd-748d06de2ed3</t>
  </si>
  <si>
    <t>ORD200909</t>
  </si>
  <si>
    <t>e36c90ed-a07e-4ea7-b1f8-ee1eae9a915d</t>
  </si>
  <si>
    <t>ORD200910</t>
  </si>
  <si>
    <t>90a990a6-de75-4874-87bc-767323603239</t>
  </si>
  <si>
    <t>ORD200911</t>
  </si>
  <si>
    <t>2840f97a-87e0-4b65-b158-ac1deff0a76d</t>
  </si>
  <si>
    <t>ORD200912</t>
  </si>
  <si>
    <t>18a1a310-94e9-485c-9b83-2a44ecf55119</t>
  </si>
  <si>
    <t>ORD200913</t>
  </si>
  <si>
    <t>5a68929b-7ecc-4ef3-ab5d-c051123fa1bc</t>
  </si>
  <si>
    <t>ORD200914</t>
  </si>
  <si>
    <t>b69d2214-3bd5-421a-84a7-cc49f6dd4f0b</t>
  </si>
  <si>
    <t>ORD200915</t>
  </si>
  <si>
    <t>820ab162-cad3-493b-b30a-0930462f524e</t>
  </si>
  <si>
    <t>ORD200916</t>
  </si>
  <si>
    <t>e3e339f4-ec7c-489b-918d-3630b657fdc2</t>
  </si>
  <si>
    <t>ORD200917</t>
  </si>
  <si>
    <t>35fce1fa-090a-4dca-b6b5-b1843c2fbb39</t>
  </si>
  <si>
    <t>ORD200918</t>
  </si>
  <si>
    <t>1c1005cc-0904-4dcf-9962-e48c890dbb01</t>
  </si>
  <si>
    <t>ORD200919</t>
  </si>
  <si>
    <t>3c387e9b-ef36-41b0-b463-acd4f486fffa</t>
  </si>
  <si>
    <t>ORD200920</t>
  </si>
  <si>
    <t>9f72b100-7778-4aef-ac7b-03045b9bef42</t>
  </si>
  <si>
    <t>ORD200921</t>
  </si>
  <si>
    <t>c8069104-85dc-4444-855f-82ce76252059</t>
  </si>
  <si>
    <t>ORD200922</t>
  </si>
  <si>
    <t>02dc5e06-f574-4bc6-bb8a-0def6c71949e</t>
  </si>
  <si>
    <t>ORD200923</t>
  </si>
  <si>
    <t>75b3bd70-6524-4acf-a939-fc0455fac745</t>
  </si>
  <si>
    <t>ORD200924</t>
  </si>
  <si>
    <t>82d0b803-b840-4ad2-8901-0c31600fc184</t>
  </si>
  <si>
    <t>ORD200925</t>
  </si>
  <si>
    <t>203bb539-b367-46c8-acf4-299963086ca2</t>
  </si>
  <si>
    <t>ORD200926</t>
  </si>
  <si>
    <t>d05c40a0-2e5d-443e-950f-1ecb329226ee</t>
  </si>
  <si>
    <t>ORD200927</t>
  </si>
  <si>
    <t>2a848adf-9601-479f-8734-73a75731a4c0</t>
  </si>
  <si>
    <t>ORD200928</t>
  </si>
  <si>
    <t>58cc261a-91ed-45c8-9133-5631dda78702</t>
  </si>
  <si>
    <t>ORD200929</t>
  </si>
  <si>
    <t>e3635686-30c8-4600-ab5b-405038a501e9</t>
  </si>
  <si>
    <t>ORD200930</t>
  </si>
  <si>
    <t>243c62fb-f522-4566-943e-d0b682c7c57e</t>
  </si>
  <si>
    <t>ORD200931</t>
  </si>
  <si>
    <t>55bb4b19-c3ef-4190-9f9e-762672c9be45</t>
  </si>
  <si>
    <t>ORD200932</t>
  </si>
  <si>
    <t>e9dd3f6e-1563-4803-9e27-233332a4fe58</t>
  </si>
  <si>
    <t>ORD200933</t>
  </si>
  <si>
    <t>5bbb60ae-e2d5-49cf-84d1-b30bf696ba44</t>
  </si>
  <si>
    <t>ORD200934</t>
  </si>
  <si>
    <t>c72d4fee-dcbc-4648-a33e-0281ecbabe7f</t>
  </si>
  <si>
    <t>ORD200935</t>
  </si>
  <si>
    <t>caa83b80-e6c6-470c-94ff-12ce9a1d9462</t>
  </si>
  <si>
    <t>ORD200936</t>
  </si>
  <si>
    <t>7e4c4203-35b9-4e0d-b083-5a6b5a1a0ba3</t>
  </si>
  <si>
    <t>ORD200937</t>
  </si>
  <si>
    <t>1cddba8a-b119-4a55-8566-71d0d2b9e4cc</t>
  </si>
  <si>
    <t>ORD200938</t>
  </si>
  <si>
    <t>8a780223-ac99-4336-a2ef-b071a7843095</t>
  </si>
  <si>
    <t>ORD200939</t>
  </si>
  <si>
    <t>4d81ae26-5a1c-4fa6-94bf-5151a510ef9b</t>
  </si>
  <si>
    <t>ORD200940</t>
  </si>
  <si>
    <t>408b62f1-37ee-4ea1-9cce-56d2d2080ff1</t>
  </si>
  <si>
    <t>ORD200941</t>
  </si>
  <si>
    <t>1b7fe252-102c-4575-9fde-5c722aad4dc6</t>
  </si>
  <si>
    <t>ORD200942</t>
  </si>
  <si>
    <t>38028ce2-a7c2-4f55-8a78-fc597bfa8a2e</t>
  </si>
  <si>
    <t>ORD200943</t>
  </si>
  <si>
    <t>70c3ff84-5cd1-499a-a533-7852aa905ae7</t>
  </si>
  <si>
    <t>ORD200944</t>
  </si>
  <si>
    <t>95a8d12a-353c-46e2-b952-0e541e451052</t>
  </si>
  <si>
    <t>ORD200945</t>
  </si>
  <si>
    <t>2b38bb77-5fc8-4478-99a6-d5c2729c3339</t>
  </si>
  <si>
    <t>ORD200946</t>
  </si>
  <si>
    <t>41ecba3c-5c80-4ab2-8f18-7770bd272094</t>
  </si>
  <si>
    <t>ORD200947</t>
  </si>
  <si>
    <t>e4af478a-ff3e-4a58-b4ca-7e961a77a18e</t>
  </si>
  <si>
    <t>ORD200948</t>
  </si>
  <si>
    <t>b01e03fb-b317-4251-8447-8ddc00f79524</t>
  </si>
  <si>
    <t>ORD200949</t>
  </si>
  <si>
    <t>f00dd23c-a5ae-4d70-9fd8-d4e0f92e9dc2</t>
  </si>
  <si>
    <t>ORD200950</t>
  </si>
  <si>
    <t>26175410-3d3d-45d6-a0f7-f007e5bc50f8</t>
  </si>
  <si>
    <t>ORD200951</t>
  </si>
  <si>
    <t>e6bf7260-98f6-4686-85ac-5ee026bf76d9</t>
  </si>
  <si>
    <t>ORD200952</t>
  </si>
  <si>
    <t>7b2c73cb-fb09-42e3-82a4-259183e3800c</t>
  </si>
  <si>
    <t>ORD200953</t>
  </si>
  <si>
    <t>00616acb-7df2-456d-8d58-014bddc569d3</t>
  </si>
  <si>
    <t>ORD200954</t>
  </si>
  <si>
    <t>7ecc6b8a-efed-41e7-a341-27f0e26afb15</t>
  </si>
  <si>
    <t>ORD200955</t>
  </si>
  <si>
    <t>6d3b95fe-a3b4-45b1-a8dd-655965876b00</t>
  </si>
  <si>
    <t>ORD200956</t>
  </si>
  <si>
    <t>bb0db43c-f6e8-4c46-9bb7-29f92405d568</t>
  </si>
  <si>
    <t>ORD200957</t>
  </si>
  <si>
    <t>cbe3725a-6733-4d49-b240-6cba96574da0</t>
  </si>
  <si>
    <t>ORD200958</t>
  </si>
  <si>
    <t>894fefa7-05f0-48ea-82ca-551bcfc8083a</t>
  </si>
  <si>
    <t>ORD200959</t>
  </si>
  <si>
    <t>ccff10b6-9eb3-4172-a8a9-f022f5462d79</t>
  </si>
  <si>
    <t>ORD200960</t>
  </si>
  <si>
    <t>864b08e7-8cf0-4b12-b0aa-5dbe237892b2</t>
  </si>
  <si>
    <t>ORD200961</t>
  </si>
  <si>
    <t>29d8bc39-57ab-4a3c-a5e2-ac259f7b636a</t>
  </si>
  <si>
    <t>ORD200962</t>
  </si>
  <si>
    <t>5a1f01f4-bf3e-452d-beb5-4c27f7433e14</t>
  </si>
  <si>
    <t>ORD200963</t>
  </si>
  <si>
    <t>a8d23752-f996-4adf-b281-ea01475b47bf</t>
  </si>
  <si>
    <t>ORD200964</t>
  </si>
  <si>
    <t>d9e6a763-8c46-486a-a9b7-f9ad2703727e</t>
  </si>
  <si>
    <t>ORD200965</t>
  </si>
  <si>
    <t>d5dabe2e-df70-414c-8d52-3c6289e77d57</t>
  </si>
  <si>
    <t>ORD200966</t>
  </si>
  <si>
    <t>19d5ff93-b4c5-420b-a8da-1c59f454ada6</t>
  </si>
  <si>
    <t>ORD200967</t>
  </si>
  <si>
    <t>2d548d82-d811-450a-bebb-7224562904c4</t>
  </si>
  <si>
    <t>ORD200968</t>
  </si>
  <si>
    <t>a515a283-a920-42c8-9085-285754fc2b8a</t>
  </si>
  <si>
    <t>ORD200969</t>
  </si>
  <si>
    <t>d93266b4-6504-4301-8983-383808249ef2</t>
  </si>
  <si>
    <t>ORD200970</t>
  </si>
  <si>
    <t>1fb7f9d5-026e-4c73-b03c-95214776efa1</t>
  </si>
  <si>
    <t>ORD200971</t>
  </si>
  <si>
    <t>f68cc635-bf05-4b4a-ada6-161eed37f131</t>
  </si>
  <si>
    <t>ORD200972</t>
  </si>
  <si>
    <t>71c0b39b-1b02-47ed-841f-a48501fb581c</t>
  </si>
  <si>
    <t>ORD200973</t>
  </si>
  <si>
    <t>a075b48c-b3bc-4f36-8411-f41ad73b9b7e</t>
  </si>
  <si>
    <t>ORD200974</t>
  </si>
  <si>
    <t>b310c494-9d69-4de6-984d-dda9f803853c</t>
  </si>
  <si>
    <t>ORD200975</t>
  </si>
  <si>
    <t>5f8334aa-8e1c-42c5-9033-2e62c7025e81</t>
  </si>
  <si>
    <t>ORD200976</t>
  </si>
  <si>
    <t>6017a4ac-7c44-4ec1-bf4e-ab2b0dde7a3d</t>
  </si>
  <si>
    <t>ORD200977</t>
  </si>
  <si>
    <t>95655c43-0f06-42a8-a1fa-c0ca11003a21</t>
  </si>
  <si>
    <t>ORD200978</t>
  </si>
  <si>
    <t>4730ee36-1fc3-4698-bf33-441d2685d709</t>
  </si>
  <si>
    <t>ORD200979</t>
  </si>
  <si>
    <t>c6b5853e-791b-4205-9f6c-3a3968bd06a2</t>
  </si>
  <si>
    <t>ORD200980</t>
  </si>
  <si>
    <t>6b8114e7-bf05-451c-8540-929fd7675e4c</t>
  </si>
  <si>
    <t>ORD200981</t>
  </si>
  <si>
    <t>f0444bde-1e51-42f2-9d42-c640104beaef</t>
  </si>
  <si>
    <t>ORD200982</t>
  </si>
  <si>
    <t>69f5b334-c808-4a16-98d3-b2a3bed64f30</t>
  </si>
  <si>
    <t>ORD200983</t>
  </si>
  <si>
    <t>1bdcac16-2986-41d6-83ce-7670ff279387</t>
  </si>
  <si>
    <t>ORD200984</t>
  </si>
  <si>
    <t>aa228286-f9a1-4904-be02-1331aa9dee1c</t>
  </si>
  <si>
    <t>ORD200985</t>
  </si>
  <si>
    <t>e32c267d-3792-4785-9a55-1b609f96d9ff</t>
  </si>
  <si>
    <t>ORD200986</t>
  </si>
  <si>
    <t>95c146bd-1e86-4935-b009-d465034dc794</t>
  </si>
  <si>
    <t>ORD200987</t>
  </si>
  <si>
    <t>0a80f1cb-fcb9-4d4f-bc65-982f64de7cae</t>
  </si>
  <si>
    <t>ORD200988</t>
  </si>
  <si>
    <t>4bd42e12-3bbb-42c9-9cb8-1c19a7dfc252</t>
  </si>
  <si>
    <t>ORD200989</t>
  </si>
  <si>
    <t>e8bbee16-b664-4106-91e4-d633c4006d3d</t>
  </si>
  <si>
    <t>ORD200990</t>
  </si>
  <si>
    <t>9aee578c-bbbd-4f95-887d-56450bfa4886</t>
  </si>
  <si>
    <t>ORD200991</t>
  </si>
  <si>
    <t>d00395c4-e381-45f8-bcab-029ee9ec826a</t>
  </si>
  <si>
    <t>ORD200992</t>
  </si>
  <si>
    <t>a2ef3fc3-f5dd-4254-bea4-2385696ba714</t>
  </si>
  <si>
    <t>ORD200993</t>
  </si>
  <si>
    <t>5c599690-2dcd-46f4-a20a-4edf573b47cb</t>
  </si>
  <si>
    <t>ORD200994</t>
  </si>
  <si>
    <t>e65ecf90-4210-4fa5-b0e2-e92a49c652d7</t>
  </si>
  <si>
    <t>ORD200995</t>
  </si>
  <si>
    <t>ae9d9391-f884-4ac7-8c97-ec53447329fa</t>
  </si>
  <si>
    <t>ORD200996</t>
  </si>
  <si>
    <t>1ca579e2-6112-47f1-8950-f5df60e63794</t>
  </si>
  <si>
    <t>ORD200997</t>
  </si>
  <si>
    <t>453ff341-f005-4481-a77c-221123b14f5a</t>
  </si>
  <si>
    <t>ORD200998</t>
  </si>
  <si>
    <t>7b682127-aff1-4f88-b74e-d558d361450b</t>
  </si>
  <si>
    <t>ORD200999</t>
  </si>
  <si>
    <t>6051b9f6-39a9-4956-a222-9830cc923719</t>
  </si>
  <si>
    <t>ORD201000</t>
  </si>
  <si>
    <t>f26ffd7b-2917-454c-bda6-786ecfdf8a45</t>
  </si>
  <si>
    <t>ORD201001</t>
  </si>
  <si>
    <t>f7889363-a64c-4ccb-adf4-cfa7894f06b9</t>
  </si>
  <si>
    <t>ORD201002</t>
  </si>
  <si>
    <t>015fbc2a-5614-4e2a-a701-f17caabd29f2</t>
  </si>
  <si>
    <t>ORD201003</t>
  </si>
  <si>
    <t>76988818-b871-4d75-984b-f187b5f1953b</t>
  </si>
  <si>
    <t>ORD201004</t>
  </si>
  <si>
    <t>63c87f87-735d-4298-882e-51995dc58551</t>
  </si>
  <si>
    <t>ORD201005</t>
  </si>
  <si>
    <t>9174c1a1-82f8-4650-90c7-0a88310fe677</t>
  </si>
  <si>
    <t>ORD201006</t>
  </si>
  <si>
    <t>e2ffdf1b-1030-41a7-b856-f3e594530992</t>
  </si>
  <si>
    <t>ORD201007</t>
  </si>
  <si>
    <t>7bbd0183-4c36-42d8-b111-8ca0b6fd9628</t>
  </si>
  <si>
    <t>ORD201008</t>
  </si>
  <si>
    <t>562eaeb4-b3e1-474d-a48c-ad20e56f062b</t>
  </si>
  <si>
    <t>ORD201009</t>
  </si>
  <si>
    <t>b9048a4f-58a0-4a13-abf4-702479d22540</t>
  </si>
  <si>
    <t>ORD201010</t>
  </si>
  <si>
    <t>0295d648-e506-4d48-b1df-7f9c8f8be340</t>
  </si>
  <si>
    <t>ORD201011</t>
  </si>
  <si>
    <t>66c46996-f429-4702-9081-252d03669c9c</t>
  </si>
  <si>
    <t>ORD201012</t>
  </si>
  <si>
    <t>d28e7e30-0fba-4638-b7ca-59462cce282f</t>
  </si>
  <si>
    <t>ORD201013</t>
  </si>
  <si>
    <t>73abcd97-564c-4170-9ebe-185413b086ee</t>
  </si>
  <si>
    <t>ORD201014</t>
  </si>
  <si>
    <t>3474f916-84fd-4967-8363-fbe58068ce15</t>
  </si>
  <si>
    <t>ORD201015</t>
  </si>
  <si>
    <t>6cc364fa-9a9c-4fee-be15-a6596601f3ea</t>
  </si>
  <si>
    <t>ORD201016</t>
  </si>
  <si>
    <t>a4cc921c-e002-4f82-b7eb-2e2834c131c9</t>
  </si>
  <si>
    <t>ORD201017</t>
  </si>
  <si>
    <t>88e73c89-4d99-40a4-b3b4-88051bbdd99f</t>
  </si>
  <si>
    <t>ORD201018</t>
  </si>
  <si>
    <t>96d1a950-e30e-467b-a8c9-e7e11a0a8019</t>
  </si>
  <si>
    <t>ORD201019</t>
  </si>
  <si>
    <t>7a8b4aab-7a23-4bab-8da4-c9c971b284fb</t>
  </si>
  <si>
    <t>ORD201020</t>
  </si>
  <si>
    <t>3c7aa418-eb98-4ef0-a81a-0229d338fa88</t>
  </si>
  <si>
    <t>ORD201021</t>
  </si>
  <si>
    <t>fb5ea3de-cf49-471c-9314-3d6a76a7ed8d</t>
  </si>
  <si>
    <t>ORD201022</t>
  </si>
  <si>
    <t>934b3bb4-8526-426a-9081-339bd086214b</t>
  </si>
  <si>
    <t>ORD201023</t>
  </si>
  <si>
    <t>b11cc087-6bc5-407b-86e8-dccc83333f9d</t>
  </si>
  <si>
    <t>ORD201024</t>
  </si>
  <si>
    <t>485610a1-6ba6-4746-b659-faeae70a18ab</t>
  </si>
  <si>
    <t>ORD201025</t>
  </si>
  <si>
    <t>c1005153-ae82-4d66-b7db-2e8decf92e00</t>
  </si>
  <si>
    <t>ORD201026</t>
  </si>
  <si>
    <t>1d70fae9-2c9b-45b7-a72a-47d3786e74d4</t>
  </si>
  <si>
    <t>ORD201027</t>
  </si>
  <si>
    <t>beea5cf9-4442-4691-86a8-29bb3c7e42fc</t>
  </si>
  <si>
    <t>ORD201028</t>
  </si>
  <si>
    <t>e0fe97ad-3268-4953-bf03-b74dd0ff79b3</t>
  </si>
  <si>
    <t>ORD201029</t>
  </si>
  <si>
    <t>a69e658f-7af1-493b-9dfb-44dd723da188</t>
  </si>
  <si>
    <t>ORD201030</t>
  </si>
  <si>
    <t>b781a24c-07d2-43e7-82f0-e7733077e8ab</t>
  </si>
  <si>
    <t>ORD201031</t>
  </si>
  <si>
    <t>8d1dc037-509a-46a8-84a2-f77df2e73360</t>
  </si>
  <si>
    <t>ORD201032</t>
  </si>
  <si>
    <t>c6053c9d-ac4e-4beb-acee-ec151180c486</t>
  </si>
  <si>
    <t>ORD201033</t>
  </si>
  <si>
    <t>c428b6c5-7570-4bd2-a115-c3adefef29f6</t>
  </si>
  <si>
    <t>ORD201034</t>
  </si>
  <si>
    <t>19589f5f-c4d5-42ca-b18e-5cd23baedf25</t>
  </si>
  <si>
    <t>ORD201035</t>
  </si>
  <si>
    <t>461601ca-4c47-4b49-9f13-9c74311ba6b5</t>
  </si>
  <si>
    <t>ORD201036</t>
  </si>
  <si>
    <t>c240572a-5a91-468e-9f1c-1e53ddacd63e</t>
  </si>
  <si>
    <t>ORD201037</t>
  </si>
  <si>
    <t>5b1101c0-f638-4048-9eb2-8e31633ad23c</t>
  </si>
  <si>
    <t>ORD201038</t>
  </si>
  <si>
    <t>e6e9daf2-bb28-4330-a92f-5341a0293d4a</t>
  </si>
  <si>
    <t>ORD201039</t>
  </si>
  <si>
    <t>a3cdbe04-84d1-44af-8e53-34e09f8ce2f4</t>
  </si>
  <si>
    <t>ORD201040</t>
  </si>
  <si>
    <t>2215df86-8d7b-4a0a-a623-ed16b7d6b84a</t>
  </si>
  <si>
    <t>ORD201041</t>
  </si>
  <si>
    <t>e350154f-6a4c-46e0-ab84-0fb25880c187</t>
  </si>
  <si>
    <t>ORD201042</t>
  </si>
  <si>
    <t>45a24e4e-8961-4b9d-accb-2768dd86f658</t>
  </si>
  <si>
    <t>ORD201043</t>
  </si>
  <si>
    <t>40e5b670-7cd7-42df-90ef-f8c1da32d4c4</t>
  </si>
  <si>
    <t>ORD201044</t>
  </si>
  <si>
    <t>ef7ed79a-7c57-4ec7-a5a4-fff444d637d3</t>
  </si>
  <si>
    <t>ORD201045</t>
  </si>
  <si>
    <t>bd8d6ba6-423a-4899-adf3-e1adcbd3c04f</t>
  </si>
  <si>
    <t>ORD201046</t>
  </si>
  <si>
    <t>909a9ede-0e4f-4ed0-9742-2d67f8aaa82f</t>
  </si>
  <si>
    <t>ORD201047</t>
  </si>
  <si>
    <t>4c5c173e-7403-4757-bb9f-7e18a8df5f4b</t>
  </si>
  <si>
    <t>ORD201048</t>
  </si>
  <si>
    <t>7a3b445d-1881-4e4c-8631-5bf48019fbd1</t>
  </si>
  <si>
    <t>ORD201049</t>
  </si>
  <si>
    <t>a1a99215-12a5-41cd-9dd0-c5b685ba5c91</t>
  </si>
  <si>
    <t>ORD201050</t>
  </si>
  <si>
    <t>de3feb84-b852-42de-9a6d-e8120add27fd</t>
  </si>
  <si>
    <t>ORD201051</t>
  </si>
  <si>
    <t>a0a003d0-5f2e-412a-88d6-f051adebfb84</t>
  </si>
  <si>
    <t>ORD201052</t>
  </si>
  <si>
    <t>0ebba5a1-cdd1-459b-86cb-d967fd240cad</t>
  </si>
  <si>
    <t>ORD201053</t>
  </si>
  <si>
    <t>bbf6c33a-ddf4-45e2-974f-35c90a60fb4b</t>
  </si>
  <si>
    <t>ORD201054</t>
  </si>
  <si>
    <t>414cbc5a-0e40-477d-b1ed-709fe98cd236</t>
  </si>
  <si>
    <t>ORD201055</t>
  </si>
  <si>
    <t>4efb990f-f74a-4689-9407-42c4df90be01</t>
  </si>
  <si>
    <t>ORD201056</t>
  </si>
  <si>
    <t>26db7860-5723-466d-baf2-3cded4ef66c1</t>
  </si>
  <si>
    <t>ORD201057</t>
  </si>
  <si>
    <t>1301a975-02d2-477d-8fa4-76669c6a2bc9</t>
  </si>
  <si>
    <t>ORD201058</t>
  </si>
  <si>
    <t>ba6079ef-9a78-4ee7-8301-d2f7b1749813</t>
  </si>
  <si>
    <t>ORD201059</t>
  </si>
  <si>
    <t>13af0673-8380-4b20-8e9d-6d799fedba51</t>
  </si>
  <si>
    <t>ORD201060</t>
  </si>
  <si>
    <t>24a256a5-cbfa-4799-8ec0-dcca4ae97076</t>
  </si>
  <si>
    <t>ORD201061</t>
  </si>
  <si>
    <t>aae8b4a5-d16e-4252-a26c-f3194e2c8fa6</t>
  </si>
  <si>
    <t>ORD201062</t>
  </si>
  <si>
    <t>d5800e71-e927-4634-8011-c89684a4dd43</t>
  </si>
  <si>
    <t>ORD201063</t>
  </si>
  <si>
    <t>8511d461-7ba2-48fb-ae1e-4ab0a92c19de</t>
  </si>
  <si>
    <t>ORD201064</t>
  </si>
  <si>
    <t>587bbd9a-b39c-433d-b768-96ada08b66bf</t>
  </si>
  <si>
    <t>ORD201065</t>
  </si>
  <si>
    <t>a9401454-39f7-4cd9-a56a-7db3acd72b4f</t>
  </si>
  <si>
    <t>ORD201066</t>
  </si>
  <si>
    <t>fd7db5f5-56de-4fb6-8080-33af3898ef78</t>
  </si>
  <si>
    <t>ORD201067</t>
  </si>
  <si>
    <t>bf0f0f94-c952-40c5-b8e1-aa3f7e031c8e</t>
  </si>
  <si>
    <t>ORD201068</t>
  </si>
  <si>
    <t>70b25420-c7b8-4f55-9b06-03fa8efb9de1</t>
  </si>
  <si>
    <t>ORD201069</t>
  </si>
  <si>
    <t>74f30b60-ed8a-43b1-a97b-aa6182b07592</t>
  </si>
  <si>
    <t>ORD201070</t>
  </si>
  <si>
    <t>0cc61d9c-a014-4728-86e5-72ed90c84030</t>
  </si>
  <si>
    <t>ORD201071</t>
  </si>
  <si>
    <t>b4cf1ab2-b17e-4ded-9d47-cb0e3885462c</t>
  </si>
  <si>
    <t>ORD201072</t>
  </si>
  <si>
    <t>2332e2ac-1224-4f8c-91a3-85e3e110e138</t>
  </si>
  <si>
    <t>ORD201073</t>
  </si>
  <si>
    <t>8dc6b569-e021-4425-8a25-62cf8b83df66</t>
  </si>
  <si>
    <t>ORD201074</t>
  </si>
  <si>
    <t>ea9dc991-2148-42cf-b668-f01f4b80da62</t>
  </si>
  <si>
    <t>ORD201075</t>
  </si>
  <si>
    <t>f7fc30ba-62f0-49d2-912a-028c3161486d</t>
  </si>
  <si>
    <t>ORD201076</t>
  </si>
  <si>
    <t>d81412ab-78af-444c-b383-561bc75f6bfa</t>
  </si>
  <si>
    <t>ORD201077</t>
  </si>
  <si>
    <t>5f5a95fa-cf57-4d58-9e02-5dcf52ae4441</t>
  </si>
  <si>
    <t>ORD201078</t>
  </si>
  <si>
    <t>3f9f5f50-ae06-4590-9f38-29c471d79855</t>
  </si>
  <si>
    <t>ORD201079</t>
  </si>
  <si>
    <t>29786d45-a637-43e5-a26a-b6b31565f947</t>
  </si>
  <si>
    <t>ORD201080</t>
  </si>
  <si>
    <t>c49e327e-f33b-4195-b99d-ce0cc37e56d1</t>
  </si>
  <si>
    <t>ORD201081</t>
  </si>
  <si>
    <t>4fe5d62b-f5b4-4c82-9a3c-ef214912f56a</t>
  </si>
  <si>
    <t>ORD201082</t>
  </si>
  <si>
    <t>3cd7fc7c-0ac4-4170-92ae-85f962eeee04</t>
  </si>
  <si>
    <t>ORD201083</t>
  </si>
  <si>
    <t>6cca636d-005f-401d-8c61-440f1ae04114</t>
  </si>
  <si>
    <t>ORD201084</t>
  </si>
  <si>
    <t>349fb74b-c89c-4130-9f4f-b102c92b436c</t>
  </si>
  <si>
    <t>ORD201085</t>
  </si>
  <si>
    <t>fd10f42d-d798-48db-a972-660cadd2fa73</t>
  </si>
  <si>
    <t>ORD201086</t>
  </si>
  <si>
    <t>b5c1d034-12af-4079-ba14-f9dc59787b61</t>
  </si>
  <si>
    <t>ORD201087</t>
  </si>
  <si>
    <t>2ca961cb-4493-4c73-98d5-f4538a8f95cc</t>
  </si>
  <si>
    <t>ORD201088</t>
  </si>
  <si>
    <t>d54bee04-09e7-47c5-8652-443e83d29535</t>
  </si>
  <si>
    <t>ORD201089</t>
  </si>
  <si>
    <t>0f91f248-3b40-48ec-85ef-d0f73dfb2c8f</t>
  </si>
  <si>
    <t>ORD201090</t>
  </si>
  <si>
    <t>25a11894-3dbd-4ef2-84c8-ab86c9de0871</t>
  </si>
  <si>
    <t>ORD201091</t>
  </si>
  <si>
    <t>7f8dd2c2-62d1-48e1-a629-406b4eca79f2</t>
  </si>
  <si>
    <t>ORD201092</t>
  </si>
  <si>
    <t>2a801b44-f189-43ac-9c64-1379e60dfc9f</t>
  </si>
  <si>
    <t>ORD201093</t>
  </si>
  <si>
    <t>a4606719-a121-4c6c-a2ce-92193580f9b9</t>
  </si>
  <si>
    <t>ORD201094</t>
  </si>
  <si>
    <t>b9f44d92-af97-44b6-89dd-42f078809e11</t>
  </si>
  <si>
    <t>ORD201095</t>
  </si>
  <si>
    <t>57deb199-59dd-4f55-b61c-fcadfbadd05e</t>
  </si>
  <si>
    <t>ORD201096</t>
  </si>
  <si>
    <t>e016a205-0174-4b03-9f5d-da28ab1b904b</t>
  </si>
  <si>
    <t>ORD201097</t>
  </si>
  <si>
    <t>efe99235-cfac-42a7-a528-25215d77bf41</t>
  </si>
  <si>
    <t>ORD201098</t>
  </si>
  <si>
    <t>a0193497-db1e-47e4-9fab-bcc2dde34488</t>
  </si>
  <si>
    <t>ORD201099</t>
  </si>
  <si>
    <t>40e7fc19-4546-42ad-8ffd-31a44f87c2b4</t>
  </si>
  <si>
    <t>ORD201100</t>
  </si>
  <si>
    <t>c4e76590-9e01-4be9-b1cd-6846a2513127</t>
  </si>
  <si>
    <t>ORD201101</t>
  </si>
  <si>
    <t>9478d042-43e6-4820-aadb-422145afe6e3</t>
  </si>
  <si>
    <t>ORD201102</t>
  </si>
  <si>
    <t>4e6d32d7-f59f-4808-8714-3b9bfa853ee2</t>
  </si>
  <si>
    <t>ORD201103</t>
  </si>
  <si>
    <t>d810edb4-12e0-4c19-9205-d6c9bf8e7786</t>
  </si>
  <si>
    <t>ORD201104</t>
  </si>
  <si>
    <t>0606cbd2-e3ec-462c-ab07-a2dc16379a54</t>
  </si>
  <si>
    <t>ORD201105</t>
  </si>
  <si>
    <t>e584e0dc-595a-465a-a425-12e151379777</t>
  </si>
  <si>
    <t>ORD201106</t>
  </si>
  <si>
    <t>d7c227c8-6c82-4f9c-b19a-45474a5d00c8</t>
  </si>
  <si>
    <t>ORD201107</t>
  </si>
  <si>
    <t>288737a5-fc0c-4266-8672-1482655e4592</t>
  </si>
  <si>
    <t>ORD201108</t>
  </si>
  <si>
    <t>bd3b4e32-19bb-4e5f-b1a0-7cd90380b418</t>
  </si>
  <si>
    <t>ORD201109</t>
  </si>
  <si>
    <t>76131119-19fd-41d9-8811-b8ea3b7aca45</t>
  </si>
  <si>
    <t>ORD201110</t>
  </si>
  <si>
    <t>f0508078-cc94-48be-b505-a7d0d3ede371</t>
  </si>
  <si>
    <t>ORD201111</t>
  </si>
  <si>
    <t>14b85abf-644f-4e42-8202-f28aa6d08367</t>
  </si>
  <si>
    <t>ORD201112</t>
  </si>
  <si>
    <t>a9d4359c-f4a5-426e-ab23-4c6d23c460f7</t>
  </si>
  <si>
    <t>ORD201113</t>
  </si>
  <si>
    <t>e12b8c34-55ca-4c75-b013-dca31e1dd839</t>
  </si>
  <si>
    <t>ORD201114</t>
  </si>
  <si>
    <t>a1c04963-13be-47e9-81fa-f3b507e6c3ab</t>
  </si>
  <si>
    <t>ORD201115</t>
  </si>
  <si>
    <t>947aec82-cc28-40b0-bc63-e4c7d7f0c786</t>
  </si>
  <si>
    <t>ORD201116</t>
  </si>
  <si>
    <t>17f9e868-1982-484b-8ba3-94bf2cf2d561</t>
  </si>
  <si>
    <t>ORD201117</t>
  </si>
  <si>
    <t>d9345a82-6137-4d27-97f8-caf2638cd077</t>
  </si>
  <si>
    <t>ORD201118</t>
  </si>
  <si>
    <t>2c81643e-90ac-4804-8033-b3f401c1e7fe</t>
  </si>
  <si>
    <t>ORD201119</t>
  </si>
  <si>
    <t>1442e6da-3c2a-4328-a7b7-be04394935d0</t>
  </si>
  <si>
    <t>ORD201120</t>
  </si>
  <si>
    <t>05a3a9e2-a791-4585-a4d8-eb112fd2166a</t>
  </si>
  <si>
    <t>ORD201121</t>
  </si>
  <si>
    <t>6b268b63-8e38-49a6-9438-d59c420ef9ef</t>
  </si>
  <si>
    <t>ORD201122</t>
  </si>
  <si>
    <t>3ec537c8-ef76-45e3-84c3-20890cd67d2b</t>
  </si>
  <si>
    <t>ORD201123</t>
  </si>
  <si>
    <t>1c5a1602-1a0d-4fcb-87a7-0bef9937c387</t>
  </si>
  <si>
    <t>ORD201124</t>
  </si>
  <si>
    <t>af301267-51de-4043-8af8-2c6f067bcb6b</t>
  </si>
  <si>
    <t>ORD201125</t>
  </si>
  <si>
    <t>e2bc0faf-2910-437d-8b87-7c33c3de51a9</t>
  </si>
  <si>
    <t>ORD201126</t>
  </si>
  <si>
    <t>05734829-1e09-478b-9db8-bc806c996b47</t>
  </si>
  <si>
    <t>ORD201127</t>
  </si>
  <si>
    <t>b7aad156-5dcf-4195-a3d6-255d76e93d95</t>
  </si>
  <si>
    <t>ORD201128</t>
  </si>
  <si>
    <t>111b2662-6e6d-432f-a5f9-8453920f8fd4</t>
  </si>
  <si>
    <t>ORD201129</t>
  </si>
  <si>
    <t>23b2b0bd-b706-4da9-b1de-0ade00de26b3</t>
  </si>
  <si>
    <t>ORD201130</t>
  </si>
  <si>
    <t>d98bb900-bdef-4c02-820d-e1b92bda06a4</t>
  </si>
  <si>
    <t>ORD201131</t>
  </si>
  <si>
    <t>96540d85-e09c-4a34-892e-c8f7c62d85f0</t>
  </si>
  <si>
    <t>ORD201132</t>
  </si>
  <si>
    <t>4ac56fec-64ea-4722-b1ee-81fda611593e</t>
  </si>
  <si>
    <t>ORD201133</t>
  </si>
  <si>
    <t>40e68787-bff0-435f-b533-9296e066e6f1</t>
  </si>
  <si>
    <t>ORD201134</t>
  </si>
  <si>
    <t>ea3de4e0-1e84-46f0-81a1-4318faba4800</t>
  </si>
  <si>
    <t>ORD201135</t>
  </si>
  <si>
    <t>c4693d8e-0181-4e5e-9171-7cac4c6bae28</t>
  </si>
  <si>
    <t>ORD201136</t>
  </si>
  <si>
    <t>1dc48b41-99e3-47a0-841d-ae08d3146f82</t>
  </si>
  <si>
    <t>ORD201137</t>
  </si>
  <si>
    <t>71571f30-345a-4121-b2e5-d798a71f386d</t>
  </si>
  <si>
    <t>ORD201138</t>
  </si>
  <si>
    <t>e609ddd3-f4b2-4953-a828-57a6a00ffb6f</t>
  </si>
  <si>
    <t>ORD201139</t>
  </si>
  <si>
    <t>49fabb4f-b533-4335-8667-070ab8267193</t>
  </si>
  <si>
    <t>ORD201140</t>
  </si>
  <si>
    <t>e581e682-4fa7-4b78-9b86-6c5d9c598f50</t>
  </si>
  <si>
    <t>ORD201141</t>
  </si>
  <si>
    <t>471552a1-d576-4dea-86df-67d07042497b</t>
  </si>
  <si>
    <t>ORD201142</t>
  </si>
  <si>
    <t>ed3cf5b5-b85e-4091-967c-2ae8cc1582a6</t>
  </si>
  <si>
    <t>ORD201143</t>
  </si>
  <si>
    <t>21f30381-bb7e-47a7-9a7c-4e7443d48cfe</t>
  </si>
  <si>
    <t>ORD201144</t>
  </si>
  <si>
    <t>b7d59b6a-8d28-4e18-828d-9a27dddead4a</t>
  </si>
  <si>
    <t>ORD201145</t>
  </si>
  <si>
    <t>76900769-b0aa-4160-9db2-215f7647c4d7</t>
  </si>
  <si>
    <t>ORD201146</t>
  </si>
  <si>
    <t>5d898065-ef2b-4f3d-92c2-66b1d712a7ac</t>
  </si>
  <si>
    <t>ORD201147</t>
  </si>
  <si>
    <t>8a94c7c2-c7a6-44be-8af4-0ce58b227ba6</t>
  </si>
  <si>
    <t>ORD201148</t>
  </si>
  <si>
    <t>e78ea1f4-6ce9-44ee-92fa-2ef3e2ef8305</t>
  </si>
  <si>
    <t>ORD201149</t>
  </si>
  <si>
    <t>028afda8-a2f5-481a-971c-550a2a73fddb</t>
  </si>
  <si>
    <t>ORD201150</t>
  </si>
  <si>
    <t>e5ddc9fc-daae-4269-bd03-dcb4aed4525f</t>
  </si>
  <si>
    <t>ORD201151</t>
  </si>
  <si>
    <t>2475b93e-184a-412f-b43b-34e74df63c88</t>
  </si>
  <si>
    <t>ORD201152</t>
  </si>
  <si>
    <t>a0318993-6461-479a-b47c-13ee7f7300ba</t>
  </si>
  <si>
    <t>ORD201153</t>
  </si>
  <si>
    <t>3a2c9ff7-9c78-4d99-a564-c64795075990</t>
  </si>
  <si>
    <t>ORD201154</t>
  </si>
  <si>
    <t>c0a8b9cd-727a-47ef-b8e6-cd0649555abb</t>
  </si>
  <si>
    <t>ORD201155</t>
  </si>
  <si>
    <t>be299bcf-f261-4878-b6d7-5a0827b923d3</t>
  </si>
  <si>
    <t>ORD201156</t>
  </si>
  <si>
    <t>a6069ac7-0058-44c6-b857-3a2d3670a8cd</t>
  </si>
  <si>
    <t>ORD201157</t>
  </si>
  <si>
    <t>827bf6b1-5abe-404f-8b94-0d699b7b1c06</t>
  </si>
  <si>
    <t>ORD201158</t>
  </si>
  <si>
    <t>cd910b8d-bfff-4c94-b720-344fb35c851e</t>
  </si>
  <si>
    <t>ORD201159</t>
  </si>
  <si>
    <t>7adb528a-7ee3-4ce2-9ab7-3a36cf3b5253</t>
  </si>
  <si>
    <t>ORD201160</t>
  </si>
  <si>
    <t>ee98892c-4bf1-47b6-8aa2-e9a703695a92</t>
  </si>
  <si>
    <t>ORD201161</t>
  </si>
  <si>
    <t>287aebae-7ab1-4b01-a3e1-5cd848c23931</t>
  </si>
  <si>
    <t>ORD201162</t>
  </si>
  <si>
    <t>7f64958d-ad7a-4831-ae2a-e193781fe25e</t>
  </si>
  <si>
    <t>ORD201163</t>
  </si>
  <si>
    <t>276f96a6-fb88-4f25-bd1c-8e51cd9c667d</t>
  </si>
  <si>
    <t>ORD201164</t>
  </si>
  <si>
    <t>44eef559-ee6f-4640-9ccb-22cde5d3bbe2</t>
  </si>
  <si>
    <t>ORD201165</t>
  </si>
  <si>
    <t>c2e0e9bb-add8-498d-b19d-ce8b97647444</t>
  </si>
  <si>
    <t>ORD201166</t>
  </si>
  <si>
    <t>767a603f-fb48-4079-8b49-ba79ba918836</t>
  </si>
  <si>
    <t>ORD201167</t>
  </si>
  <si>
    <t>36ad26bf-8e7b-4e21-9825-c5dfc0c3862e</t>
  </si>
  <si>
    <t>ORD201168</t>
  </si>
  <si>
    <t>ee74121a-839e-4bb6-b7e0-f08b4d42e600</t>
  </si>
  <si>
    <t>ORD201169</t>
  </si>
  <si>
    <t>eedd6787-9333-4b92-ae54-032aa70dd912</t>
  </si>
  <si>
    <t>ORD201170</t>
  </si>
  <si>
    <t>1c0bfdac-7179-42e5-92a2-4d83039a8dd6</t>
  </si>
  <si>
    <t>ORD201171</t>
  </si>
  <si>
    <t>4bbe62a9-5bdc-4dc8-b3ca-f3104fef49de</t>
  </si>
  <si>
    <t>ORD201172</t>
  </si>
  <si>
    <t>e38d804f-87f0-497e-b24e-f9212d621dee</t>
  </si>
  <si>
    <t>ORD201173</t>
  </si>
  <si>
    <t>ff4db0ca-efa3-406f-b989-6c61b2fe15d5</t>
  </si>
  <si>
    <t>ORD201174</t>
  </si>
  <si>
    <t>96485ede-e7d0-4f00-9b16-08f376ca5097</t>
  </si>
  <si>
    <t>ORD201175</t>
  </si>
  <si>
    <t>75318524-3ed3-4fa7-bff2-b4cb84ebef92</t>
  </si>
  <si>
    <t>ORD201176</t>
  </si>
  <si>
    <t>8938cec2-7194-4bac-95b3-7ec5776997e4</t>
  </si>
  <si>
    <t>ORD201177</t>
  </si>
  <si>
    <t>0285bbf8-7321-4fcf-816c-d7ddeaa648d0</t>
  </si>
  <si>
    <t>ORD201178</t>
  </si>
  <si>
    <t>e0d1bdc2-1d40-40c9-83f4-0ecd2f142c4a</t>
  </si>
  <si>
    <t>ORD201179</t>
  </si>
  <si>
    <t>75b5451a-e049-460b-b541-53e248c028b2</t>
  </si>
  <si>
    <t>ORD201180</t>
  </si>
  <si>
    <t>fbd5e656-7dc4-423f-ba9a-ddb08b217b39</t>
  </si>
  <si>
    <t>ORD201181</t>
  </si>
  <si>
    <t>e81a7fff-4b6b-4a71-aef9-5020aec1d81c</t>
  </si>
  <si>
    <t>ORD201182</t>
  </si>
  <si>
    <t>4a5c1cc7-9713-415e-8c7c-cc67e6945c3b</t>
  </si>
  <si>
    <t>ORD201183</t>
  </si>
  <si>
    <t>17aa374a-3ec6-4fa5-a03f-d6cf31fabfd8</t>
  </si>
  <si>
    <t>ORD201184</t>
  </si>
  <si>
    <t>076215cc-5594-4fd9-9544-b45ad44b30f5</t>
  </si>
  <si>
    <t>ORD201185</t>
  </si>
  <si>
    <t>c120c917-2d59-422f-99fb-19808363b9ad</t>
  </si>
  <si>
    <t>ORD201186</t>
  </si>
  <si>
    <t>bd07f0bf-8e61-451f-b42b-10abd560ec9f</t>
  </si>
  <si>
    <t>ORD201187</t>
  </si>
  <si>
    <t>be3b174f-ec31-49d6-b6c4-d346846e7302</t>
  </si>
  <si>
    <t>ORD201188</t>
  </si>
  <si>
    <t>057fd9a3-acce-45e4-a83f-7460c53f24ad</t>
  </si>
  <si>
    <t>ORD201189</t>
  </si>
  <si>
    <t>ebe7283f-1390-4b9e-8b3b-1e11466e11e9</t>
  </si>
  <si>
    <t>ORD201190</t>
  </si>
  <si>
    <t>8f664987-86e7-4f8a-8b60-e70d42489350</t>
  </si>
  <si>
    <t>ORD201191</t>
  </si>
  <si>
    <t>290f67d2-bd70-4d9d-bb39-1fb35bbefc47</t>
  </si>
  <si>
    <t>ORD201192</t>
  </si>
  <si>
    <t>e94738ef-9c2d-44c2-bdb1-51c7cac00b8a</t>
  </si>
  <si>
    <t>ORD201193</t>
  </si>
  <si>
    <t>5f0bdcc8-d24d-4221-879c-9f5c4f5c681f</t>
  </si>
  <si>
    <t>ORD201194</t>
  </si>
  <si>
    <t>a03b2960-5b84-4169-8380-b6aaad3fe922</t>
  </si>
  <si>
    <t>ORD201195</t>
  </si>
  <si>
    <t>3f978229-c035-47ae-af21-8cf30d13651b</t>
  </si>
  <si>
    <t>ORD201196</t>
  </si>
  <si>
    <t>9448af47-910f-437a-9619-6a5568243e1c</t>
  </si>
  <si>
    <t>ORD201197</t>
  </si>
  <si>
    <t>10ba88d0-fe47-427e-9440-3a31fd8ffeff</t>
  </si>
  <si>
    <t>ORD201198</t>
  </si>
  <si>
    <t>f4bceda8-2e80-4b9e-a2fd-7daaa67ce555</t>
  </si>
  <si>
    <t>ORD201199</t>
  </si>
  <si>
    <t>e24e8e6b-1d76-4ac3-9378-81641f5a1715</t>
  </si>
  <si>
    <t>ORD201200</t>
  </si>
  <si>
    <t>5d74adb4-ea70-434a-a6a9-d4bbeeb33549</t>
  </si>
  <si>
    <t>ORD201201</t>
  </si>
  <si>
    <t>34346b40-e222-4d35-bbfa-7a67cfe24854</t>
  </si>
  <si>
    <t>ORD201202</t>
  </si>
  <si>
    <t>9d7f87c0-ee4b-4023-a9f0-4c1e71f40bd5</t>
  </si>
  <si>
    <t>ORD201203</t>
  </si>
  <si>
    <t>9eee13b7-efb7-46be-80ed-1c2765f0e6c2</t>
  </si>
  <si>
    <t>ORD201204</t>
  </si>
  <si>
    <t>fe52325c-06e0-483f-b752-50fce56d7376</t>
  </si>
  <si>
    <t>ORD201205</t>
  </si>
  <si>
    <t>e3c2d8db-372d-4523-8eb2-27ca6a526938</t>
  </si>
  <si>
    <t>ORD201206</t>
  </si>
  <si>
    <t>a5e4856c-f87f-4dd0-8091-132fc538a687</t>
  </si>
  <si>
    <t>ORD201207</t>
  </si>
  <si>
    <t>38ca947c-85bb-4819-b2a1-7b5a6046469e</t>
  </si>
  <si>
    <t>ORD201208</t>
  </si>
  <si>
    <t>cb1d0588-d24e-433e-8b5c-0a14e4c1e9f3</t>
  </si>
  <si>
    <t>ORD201209</t>
  </si>
  <si>
    <t>35e630c2-8d11-45f8-b469-0a5ed38863d7</t>
  </si>
  <si>
    <t>ORD201210</t>
  </si>
  <si>
    <t>e709b9d7-3f27-4db8-b6fe-a947fb2ebbee</t>
  </si>
  <si>
    <t>ORD201211</t>
  </si>
  <si>
    <t>b522d208-a45b-49e9-9986-5134715c05ca</t>
  </si>
  <si>
    <t>ORD201212</t>
  </si>
  <si>
    <t>75abaa92-1fa9-4ec4-bb49-52a023f1b3b9</t>
  </si>
  <si>
    <t>ORD201213</t>
  </si>
  <si>
    <t>2f3faff9-a816-4790-9c0e-fd3e95fc6a40</t>
  </si>
  <si>
    <t>ORD201214</t>
  </si>
  <si>
    <t>656fc38e-710e-4c17-a13b-5b9be6ee27a5</t>
  </si>
  <si>
    <t>ORD201215</t>
  </si>
  <si>
    <t>bd6ecea0-2e6d-4377-8b2d-e4407d018428</t>
  </si>
  <si>
    <t>ORD201216</t>
  </si>
  <si>
    <t>e34c05cd-30a6-4bda-b7df-95deffa1004e</t>
  </si>
  <si>
    <t>ORD201217</t>
  </si>
  <si>
    <t>617d80a2-9304-49cd-a7ee-d7f55d492455</t>
  </si>
  <si>
    <t>ORD201218</t>
  </si>
  <si>
    <t>93ac8438-6ba4-4291-8bbd-5c3c42af9c42</t>
  </si>
  <si>
    <t>ORD201219</t>
  </si>
  <si>
    <t>e7f11ba1-bb5a-4219-b0f8-bdd192776e96</t>
  </si>
  <si>
    <t>ORD201220</t>
  </si>
  <si>
    <t>d5e3fe1a-da56-4863-9d18-1dec8b485ef6</t>
  </si>
  <si>
    <t>ORD201221</t>
  </si>
  <si>
    <t>3e5d7b25-0f4d-49b3-ad1d-eece0d59e9d4</t>
  </si>
  <si>
    <t>ORD201222</t>
  </si>
  <si>
    <t>64517f81-479b-4079-aa92-98566cbca9c4</t>
  </si>
  <si>
    <t>ORD201223</t>
  </si>
  <si>
    <t>2bd6834d-52bf-49ac-afd2-051e83404bb8</t>
  </si>
  <si>
    <t>ORD201224</t>
  </si>
  <si>
    <t>fb4fac9c-a4f8-4265-9d6e-043025ed69b9</t>
  </si>
  <si>
    <t>ORD201225</t>
  </si>
  <si>
    <t>dfae20f2-b717-4f25-9e2a-493bbca01f84</t>
  </si>
  <si>
    <t>ORD201226</t>
  </si>
  <si>
    <t>8ad32ac2-2d1d-4161-b012-7d8cdcac1e77</t>
  </si>
  <si>
    <t>ORD201227</t>
  </si>
  <si>
    <t>3bcfb021-d55b-4131-883a-b8ec4b714551</t>
  </si>
  <si>
    <t>ORD201228</t>
  </si>
  <si>
    <t>0368892f-b702-45ff-aecd-244e0adb5d51</t>
  </si>
  <si>
    <t>ORD201229</t>
  </si>
  <si>
    <t>12747936-4f55-413c-a1c3-cfa44c0d4f12</t>
  </si>
  <si>
    <t>ORD201230</t>
  </si>
  <si>
    <t>2e77c9e2-f376-47df-a518-eacf39a66be8</t>
  </si>
  <si>
    <t>ORD201231</t>
  </si>
  <si>
    <t>da58a921-a932-43ab-894e-b0d9b3ede567</t>
  </si>
  <si>
    <t>ORD201232</t>
  </si>
  <si>
    <t>aa416512-b9d5-4883-865f-8d771652fa57</t>
  </si>
  <si>
    <t>ORD201233</t>
  </si>
  <si>
    <t>7f7272fc-cda3-42bb-8384-412e627157d2</t>
  </si>
  <si>
    <t>ORD201234</t>
  </si>
  <si>
    <t>68d1c634-9cb7-49ef-ac9c-0368f22529c3</t>
  </si>
  <si>
    <t>ORD201235</t>
  </si>
  <si>
    <t>9939fb02-5d21-45f3-ab76-5539bae4b294</t>
  </si>
  <si>
    <t>ORD201236</t>
  </si>
  <si>
    <t>545976f0-05f1-49ae-bd22-c33c61707352</t>
  </si>
  <si>
    <t>ORD201237</t>
  </si>
  <si>
    <t>79f44e07-e36b-4610-b75f-01aef0c7da70</t>
  </si>
  <si>
    <t>ORD201238</t>
  </si>
  <si>
    <t>18cd297b-54d9-492b-9d96-7b27824a4f25</t>
  </si>
  <si>
    <t>ORD201239</t>
  </si>
  <si>
    <t>6fbe595a-8061-42ee-b343-2d86c20101b3</t>
  </si>
  <si>
    <t>ORD201240</t>
  </si>
  <si>
    <t>e04334b4-f0d1-4feb-955a-94409a8bc203</t>
  </si>
  <si>
    <t>ORD201241</t>
  </si>
  <si>
    <t>3b0f19a0-47c8-4812-9c47-4673c26393bb</t>
  </si>
  <si>
    <t>ORD201242</t>
  </si>
  <si>
    <t>4c41bde9-b8fb-48c3-836d-ba028242e5cb</t>
  </si>
  <si>
    <t>ORD201243</t>
  </si>
  <si>
    <t>dd90ba94-54f6-42ba-85ff-ec93a1af3830</t>
  </si>
  <si>
    <t>ORD201244</t>
  </si>
  <si>
    <t>c3f93ded-ff69-4f30-8c77-ce198e0db721</t>
  </si>
  <si>
    <t>ORD201245</t>
  </si>
  <si>
    <t>3a4a1263-d129-4829-92d4-91351649f23b</t>
  </si>
  <si>
    <t>ORD201246</t>
  </si>
  <si>
    <t>22bfae4d-b895-4c54-bb63-9c2c5edfbe7b</t>
  </si>
  <si>
    <t>ORD201247</t>
  </si>
  <si>
    <t>9c856a07-c482-45ae-ad9a-e03fc3d9dcda</t>
  </si>
  <si>
    <t>ORD201248</t>
  </si>
  <si>
    <t>111c5351-bee9-4690-bfe7-ab5fde94c1a1</t>
  </si>
  <si>
    <t>ORD201249</t>
  </si>
  <si>
    <t>89bfe0b6-84e2-418f-9084-94fa519bca51</t>
  </si>
  <si>
    <t>ORD201250</t>
  </si>
  <si>
    <t>a469c424-4f17-45b1-bd60-c2836a9ce0d6</t>
  </si>
  <si>
    <t>ORD201251</t>
  </si>
  <si>
    <t>7a8a71b2-65a2-46f8-8900-e1d980febe60</t>
  </si>
  <si>
    <t>ORD201252</t>
  </si>
  <si>
    <t>5938e355-33a9-496f-b1c0-a3fc7bd002f0</t>
  </si>
  <si>
    <t>ORD201253</t>
  </si>
  <si>
    <t>21da0c12-85ff-4e0d-86e0-ef2744df6011</t>
  </si>
  <si>
    <t>ORD201254</t>
  </si>
  <si>
    <t>868da5ca-690f-49fc-88af-62dc03a05f14</t>
  </si>
  <si>
    <t>ORD201255</t>
  </si>
  <si>
    <t>e914ea9f-9a75-480a-b4ae-f1ebd157e4ad</t>
  </si>
  <si>
    <t>ORD201256</t>
  </si>
  <si>
    <t>1e7347f4-6e12-4a21-885c-f1fd009b0ac6</t>
  </si>
  <si>
    <t>ORD201257</t>
  </si>
  <si>
    <t>c5672f5d-8ae2-42b6-9a1d-c77d883b5694</t>
  </si>
  <si>
    <t>ORD201258</t>
  </si>
  <si>
    <t>f0b03ef6-db94-4447-949b-66a5ada08a17</t>
  </si>
  <si>
    <t>ORD201259</t>
  </si>
  <si>
    <t>6df2aa27-9671-44db-b229-032b7ac281f6</t>
  </si>
  <si>
    <t>ORD201260</t>
  </si>
  <si>
    <t>2912cd74-870b-4427-8e3e-8c7778d9cb64</t>
  </si>
  <si>
    <t>ORD201261</t>
  </si>
  <si>
    <t>5529da09-d510-4c5b-877b-3c16d472adc0</t>
  </si>
  <si>
    <t>ORD201262</t>
  </si>
  <si>
    <t>6b2cb220-2130-4832-ae66-c96609f542cb</t>
  </si>
  <si>
    <t>ORD201263</t>
  </si>
  <si>
    <t>c80ddfb9-4f14-4012-b45a-192be6f2b8f1</t>
  </si>
  <si>
    <t>ORD201264</t>
  </si>
  <si>
    <t>d237578a-11ca-4382-8ed0-729b644d5af9</t>
  </si>
  <si>
    <t>ORD201265</t>
  </si>
  <si>
    <t>ce36effd-582c-4703-bbc1-530e5307c8f5</t>
  </si>
  <si>
    <t>ORD201266</t>
  </si>
  <si>
    <t>6b08de4e-19e5-4cf4-bc92-75dc827a339b</t>
  </si>
  <si>
    <t>ORD201267</t>
  </si>
  <si>
    <t>2ced2725-f0f4-42e9-a08c-fdbaec07d67c</t>
  </si>
  <si>
    <t>ORD201268</t>
  </si>
  <si>
    <t>89b81b74-08e2-4acc-b67a-cb02a0aefd6c</t>
  </si>
  <si>
    <t>ORD201269</t>
  </si>
  <si>
    <t>236ce704-c0d3-4073-a230-99a80591b485</t>
  </si>
  <si>
    <t>ORD201270</t>
  </si>
  <si>
    <t>b0f582d7-1593-451b-9e38-da1853bc02be</t>
  </si>
  <si>
    <t>ORD201271</t>
  </si>
  <si>
    <t>5d48031d-a54a-4700-8ce9-337a09ddf18d</t>
  </si>
  <si>
    <t>ORD201272</t>
  </si>
  <si>
    <t>8a685c76-f14a-4bab-ae76-64a4f89ef30e</t>
  </si>
  <si>
    <t>ORD201273</t>
  </si>
  <si>
    <t>60e8b97a-703a-43fe-a0fd-2df9d6188b29</t>
  </si>
  <si>
    <t>ORD201274</t>
  </si>
  <si>
    <t>89e68698-f7fd-4244-9429-5fd104f4b786</t>
  </si>
  <si>
    <t>ORD201275</t>
  </si>
  <si>
    <t>5ff6e3f0-6c4d-4aa5-92f4-571d4ae6f7de</t>
  </si>
  <si>
    <t>ORD201276</t>
  </si>
  <si>
    <t>a56bad81-7dfa-49e6-ab80-585f08f5d301</t>
  </si>
  <si>
    <t>ORD201277</t>
  </si>
  <si>
    <t>86e5f1b4-2a37-44f3-a9ff-44d405d7aa5f</t>
  </si>
  <si>
    <t>ORD201278</t>
  </si>
  <si>
    <t>ba70cb5b-48b6-43aa-b529-ddb5b44fe14f</t>
  </si>
  <si>
    <t>ORD201279</t>
  </si>
  <si>
    <t>5fea84a8-e266-46cf-9b00-f6b27d1dd47f</t>
  </si>
  <si>
    <t>ORD201280</t>
  </si>
  <si>
    <t>5a48c636-3abb-464a-956a-9a0ae3881520</t>
  </si>
  <si>
    <t>ORD201281</t>
  </si>
  <si>
    <t>267b6c0b-a711-400b-904e-d794d843be92</t>
  </si>
  <si>
    <t>ORD201282</t>
  </si>
  <si>
    <t>ba81be2b-0a0f-4929-8b94-2d0808ad40ed</t>
  </si>
  <si>
    <t>ORD201283</t>
  </si>
  <si>
    <t>a681de46-d981-4d48-8e0b-c357ded4d5a0</t>
  </si>
  <si>
    <t>ORD201284</t>
  </si>
  <si>
    <t>c10d5de6-7bc3-4830-90c5-84451c62e765</t>
  </si>
  <si>
    <t>ORD201285</t>
  </si>
  <si>
    <t>c0267eb1-5707-445c-ae01-eb8ba215c125</t>
  </si>
  <si>
    <t>ORD201286</t>
  </si>
  <si>
    <t>e4536f21-edc4-4ca2-a336-e7d874b15ee5</t>
  </si>
  <si>
    <t>ORD201287</t>
  </si>
  <si>
    <t>d516bd4d-bb5b-4ca1-b2fb-cf3c2a08b155</t>
  </si>
  <si>
    <t>ORD201288</t>
  </si>
  <si>
    <t>c17c4da1-e0a2-4938-8fc9-e91949f552fd</t>
  </si>
  <si>
    <t>ORD201289</t>
  </si>
  <si>
    <t>ea5ab246-28ef-43e6-b777-2dba6c182c8b</t>
  </si>
  <si>
    <t>ORD201290</t>
  </si>
  <si>
    <t>a9fead2c-950f-4e94-934a-a4a03b48a2a5</t>
  </si>
  <si>
    <t>ORD201291</t>
  </si>
  <si>
    <t>ed25fb07-f14d-4650-a28f-19b7019d6d19</t>
  </si>
  <si>
    <t>ORD201292</t>
  </si>
  <si>
    <t>be9071b6-07f5-46a9-ae5c-7dc0a40bf8a1</t>
  </si>
  <si>
    <t>ORD201293</t>
  </si>
  <si>
    <t>de71616b-176b-4ece-b8bc-506f72e58054</t>
  </si>
  <si>
    <t>ORD201294</t>
  </si>
  <si>
    <t>bbb70a17-a043-4b4b-a450-d568ab684975</t>
  </si>
  <si>
    <t>ORD201295</t>
  </si>
  <si>
    <t>1b4ef243-3911-4c9d-8cf6-2c5c4dd625f7</t>
  </si>
  <si>
    <t>ORD201296</t>
  </si>
  <si>
    <t>8b62940c-f434-48c9-95b3-fadb772704c1</t>
  </si>
  <si>
    <t>ORD201297</t>
  </si>
  <si>
    <t>9921157a-bcd8-4b20-98a5-446d1bf40d18</t>
  </si>
  <si>
    <t>ORD201298</t>
  </si>
  <si>
    <t>0e4d7d44-86df-4d29-b9b3-9c06b1b1fa3c</t>
  </si>
  <si>
    <t>ORD201299</t>
  </si>
  <si>
    <t>2460ac54-701f-4a40-92ca-2af3db29a0a6</t>
  </si>
  <si>
    <t>ORD201300</t>
  </si>
  <si>
    <t>1fdd2e76-f4a8-4b1c-99a3-068f36aa0404</t>
  </si>
  <si>
    <t>ORD201301</t>
  </si>
  <si>
    <t>3060aa85-1c05-437d-b961-15de9ee5182d</t>
  </si>
  <si>
    <t>ORD201302</t>
  </si>
  <si>
    <t>190a0ff0-ce60-4063-b071-6fc49f3d930f</t>
  </si>
  <si>
    <t>ORD201303</t>
  </si>
  <si>
    <t>e5eeb041-6e0b-435a-961c-b5d4cf179a1d</t>
  </si>
  <si>
    <t>ORD201304</t>
  </si>
  <si>
    <t>a9445636-69bd-4e82-b566-ae74eaeb18cc</t>
  </si>
  <si>
    <t>ORD201305</t>
  </si>
  <si>
    <t>4d0c5c48-1634-49d7-9c4d-dae392588116</t>
  </si>
  <si>
    <t>ORD201306</t>
  </si>
  <si>
    <t>acc09bfb-1996-4970-8ed2-0cab3017f56d</t>
  </si>
  <si>
    <t>ORD201307</t>
  </si>
  <si>
    <t>828468cd-ab2b-4725-a8b7-12876f40d7f6</t>
  </si>
  <si>
    <t>ORD201308</t>
  </si>
  <si>
    <t>8b7241b9-95d7-4f6a-be4f-8a8bfd18c7e7</t>
  </si>
  <si>
    <t>ORD201309</t>
  </si>
  <si>
    <t>018139f8-280b-4aa7-a6ee-18bd040d8c80</t>
  </si>
  <si>
    <t>ORD201310</t>
  </si>
  <si>
    <t>5e63f03a-425a-4c88-a5fb-cabd9076eedd</t>
  </si>
  <si>
    <t>ORD201311</t>
  </si>
  <si>
    <t>bc5bd906-a33f-428d-902f-25c4f5e66659</t>
  </si>
  <si>
    <t>ORD201312</t>
  </si>
  <si>
    <t>b5075b84-59fe-4e86-8875-22e2c89e9db2</t>
  </si>
  <si>
    <t>ORD201313</t>
  </si>
  <si>
    <t>76976d9b-5ca7-4596-b652-5a08fca5aa05</t>
  </si>
  <si>
    <t>ORD201314</t>
  </si>
  <si>
    <t>23805c11-0912-4d3d-b9fd-f7042a716b2c</t>
  </si>
  <si>
    <t>ORD201315</t>
  </si>
  <si>
    <t>f3641ebb-cb4a-4b16-b386-1627b6b121eb</t>
  </si>
  <si>
    <t>ORD201316</t>
  </si>
  <si>
    <t>1bb57336-3d71-428b-b276-f2b6ad932882</t>
  </si>
  <si>
    <t>ORD201317</t>
  </si>
  <si>
    <t>ffdb6d46-87ab-4a02-9d42-d923c749d173</t>
  </si>
  <si>
    <t>ORD201318</t>
  </si>
  <si>
    <t>d96718e2-30bc-4346-ae6c-8af3a6c07d34</t>
  </si>
  <si>
    <t>ORD201319</t>
  </si>
  <si>
    <t>d2c65137-bbbb-41b2-a09d-617a918de397</t>
  </si>
  <si>
    <t>ORD201320</t>
  </si>
  <si>
    <t>e15dc37a-5115-4607-95cd-a489ab4d1498</t>
  </si>
  <si>
    <t>ORD201321</t>
  </si>
  <si>
    <t>aa84d415-eeb2-41a3-bcdd-88336c807730</t>
  </si>
  <si>
    <t>ORD201322</t>
  </si>
  <si>
    <t>c561299b-0ab1-484c-bbd2-18691a27b7e2</t>
  </si>
  <si>
    <t>ORD201323</t>
  </si>
  <si>
    <t>508502bd-e2ce-49fc-b41f-ec952552228e</t>
  </si>
  <si>
    <t>ORD201324</t>
  </si>
  <si>
    <t>743c2460-33bc-45f2-9185-2b5d888d088a</t>
  </si>
  <si>
    <t>ORD201325</t>
  </si>
  <si>
    <t>5d6d7d6b-fac0-45b2-8333-b75ea437d60e</t>
  </si>
  <si>
    <t>ORD201326</t>
  </si>
  <si>
    <t>4857555f-27aa-42e2-a631-9256bbabdb9b</t>
  </si>
  <si>
    <t>ORD201327</t>
  </si>
  <si>
    <t>dd91e245-44f3-4675-afad-4e8242801f0e</t>
  </si>
  <si>
    <t>ORD201328</t>
  </si>
  <si>
    <t>d62bbc96-3395-4dfc-9557-ca8f0e0a0d9b</t>
  </si>
  <si>
    <t>ORD201329</t>
  </si>
  <si>
    <t>366929ae-3a6f-46f2-8bcf-cc40fc651ca8</t>
  </si>
  <si>
    <t>ORD201330</t>
  </si>
  <si>
    <t>e89c9681-4fdf-4e11-9bff-f7759b26dcdd</t>
  </si>
  <si>
    <t>ORD201331</t>
  </si>
  <si>
    <t>27352435-01cb-45ee-b440-3e62c6b8be67</t>
  </si>
  <si>
    <t>ORD201332</t>
  </si>
  <si>
    <t>95bd2466-5569-4611-b297-a6b7860062fd</t>
  </si>
  <si>
    <t>ORD201333</t>
  </si>
  <si>
    <t>ae3cd2a2-4517-4c72-8cb4-e8bfb8774ee1</t>
  </si>
  <si>
    <t>ORD201334</t>
  </si>
  <si>
    <t>25c22da4-ded0-48c2-ad3c-87f4b40b48b1</t>
  </si>
  <si>
    <t>ORD201335</t>
  </si>
  <si>
    <t>292ce482-1eed-4387-8803-5d820a7884f1</t>
  </si>
  <si>
    <t>ORD201336</t>
  </si>
  <si>
    <t>cde98e6e-b25a-4b55-afcf-8a829ab8f2d7</t>
  </si>
  <si>
    <t>ORD201337</t>
  </si>
  <si>
    <t>bff32578-05f9-4f66-95cc-c902a4eeb36d</t>
  </si>
  <si>
    <t>ORD201338</t>
  </si>
  <si>
    <t>7a816c35-1f5b-416b-81fb-9a35314ed468</t>
  </si>
  <si>
    <t>ORD201339</t>
  </si>
  <si>
    <t>a28fc4cc-5573-41ce-b87e-d5f6f901f6cd</t>
  </si>
  <si>
    <t>ORD201340</t>
  </si>
  <si>
    <t>5cf393f2-0b22-4f6d-a074-636b94d9e5a6</t>
  </si>
  <si>
    <t>ORD201341</t>
  </si>
  <si>
    <t>73f6c87e-55fa-41b4-bbd6-4d802c58b454</t>
  </si>
  <si>
    <t>ORD201342</t>
  </si>
  <si>
    <t>f00a7287-3162-409f-a8c9-b4655729de18</t>
  </si>
  <si>
    <t>ORD201343</t>
  </si>
  <si>
    <t>cdf8af91-1473-4a40-b23f-5bf8400ba5ac</t>
  </si>
  <si>
    <t>ORD201344</t>
  </si>
  <si>
    <t>8f99aa96-74b9-4111-afd3-d328932f79be</t>
  </si>
  <si>
    <t>ORD201345</t>
  </si>
  <si>
    <t>e3643e35-3f7e-4ac2-a3a3-378c082c9e06</t>
  </si>
  <si>
    <t>ORD201346</t>
  </si>
  <si>
    <t>5b1de7e4-6a3e-42f0-9dcd-303ed445cf95</t>
  </si>
  <si>
    <t>ORD201347</t>
  </si>
  <si>
    <t>dab30bcf-6b50-4a46-b300-7b7e3354a410</t>
  </si>
  <si>
    <t>ORD201348</t>
  </si>
  <si>
    <t>cc187a08-d97b-4acf-9363-777f28b261e4</t>
  </si>
  <si>
    <t>ORD201349</t>
  </si>
  <si>
    <t>c64ca041-5978-4800-bdbf-07e22443d193</t>
  </si>
  <si>
    <t>ORD201350</t>
  </si>
  <si>
    <t>84b31125-a3ad-472b-ae16-2e1c18141be0</t>
  </si>
  <si>
    <t>ORD201351</t>
  </si>
  <si>
    <t>8846f690-99e7-4565-ab09-e28864238f60</t>
  </si>
  <si>
    <t>ORD201352</t>
  </si>
  <si>
    <t>97f26c73-36ca-4c01-b3ad-bca7f21b3d87</t>
  </si>
  <si>
    <t>ORD201353</t>
  </si>
  <si>
    <t>e917b20c-1de8-4a51-a4d4-63c6321e49a9</t>
  </si>
  <si>
    <t>ORD201354</t>
  </si>
  <si>
    <t>486b09a2-6626-4338-b0ed-adb226deb439</t>
  </si>
  <si>
    <t>ORD201355</t>
  </si>
  <si>
    <t>0d44de46-fbf6-4756-9d0c-cddb7153b863</t>
  </si>
  <si>
    <t>ORD201356</t>
  </si>
  <si>
    <t>576f9dea-0fd0-438c-96ef-afded0b8a8a7</t>
  </si>
  <si>
    <t>ORD201357</t>
  </si>
  <si>
    <t>022f5ccb-af51-457a-b414-f4ad477de27d</t>
  </si>
  <si>
    <t>ORD201358</t>
  </si>
  <si>
    <t>2d1d7891-8c8d-4578-9296-3141515ef129</t>
  </si>
  <si>
    <t>ORD201359</t>
  </si>
  <si>
    <t>8635d14a-f46b-4ae7-9d4d-dec1c908f294</t>
  </si>
  <si>
    <t>ORD201360</t>
  </si>
  <si>
    <t>66636b38-c8ea-48ad-8c38-7ed5a12ffe8c</t>
  </si>
  <si>
    <t>ORD201361</t>
  </si>
  <si>
    <t>49c4ac55-9345-4063-b109-9cdb5efea721</t>
  </si>
  <si>
    <t>ORD201362</t>
  </si>
  <si>
    <t>d3c7e31e-fb56-47dd-b07d-8d2ba7cad00e</t>
  </si>
  <si>
    <t>ORD201363</t>
  </si>
  <si>
    <t>bdefceb5-e846-467d-b2b4-42c30b712ff3</t>
  </si>
  <si>
    <t>ORD201364</t>
  </si>
  <si>
    <t>da465da3-bdcc-4831-9a1a-dcb66f7337d7</t>
  </si>
  <si>
    <t>ORD201365</t>
  </si>
  <si>
    <t>e2bc4bb7-fa67-4fe1-b8dd-df3fa4e5abca</t>
  </si>
  <si>
    <t>ORD201366</t>
  </si>
  <si>
    <t>0bff81b1-8ca7-4ab2-8e93-b3305105433b</t>
  </si>
  <si>
    <t>ORD201367</t>
  </si>
  <si>
    <t>69b238e7-89df-4f3c-b51d-89af002a406a</t>
  </si>
  <si>
    <t>ORD201368</t>
  </si>
  <si>
    <t>1bb0366f-498d-46c6-a82f-901700dd8341</t>
  </si>
  <si>
    <t>ORD201369</t>
  </si>
  <si>
    <t>dc15a8a6-a97d-4301-9bfd-20c53dd577d4</t>
  </si>
  <si>
    <t>ORD201370</t>
  </si>
  <si>
    <t>c64410dc-5eb7-4fb9-ad85-dcf40872b92a</t>
  </si>
  <si>
    <t>ORD201371</t>
  </si>
  <si>
    <t>341af712-7174-41d8-b998-3920b6330772</t>
  </si>
  <si>
    <t>ORD201372</t>
  </si>
  <si>
    <t>3f66f47c-7d85-460c-b0cd-a2cee34c1b08</t>
  </si>
  <si>
    <t>ORD201373</t>
  </si>
  <si>
    <t>8103cb9c-a60c-4d66-af6f-94c3607298b0</t>
  </si>
  <si>
    <t>ORD201374</t>
  </si>
  <si>
    <t>10ae0023-2349-4ecb-87c0-6f6dc675890e</t>
  </si>
  <si>
    <t>ORD201375</t>
  </si>
  <si>
    <t>5b32e62a-bd8a-45b7-b7c2-e53ec5c65c67</t>
  </si>
  <si>
    <t>ORD201376</t>
  </si>
  <si>
    <t>483c2ccc-13cd-4c44-bac0-565e526b4012</t>
  </si>
  <si>
    <t>ORD201377</t>
  </si>
  <si>
    <t>0c962e80-e31f-4533-9089-835003532baa</t>
  </si>
  <si>
    <t>ORD201378</t>
  </si>
  <si>
    <t>fd9de3b8-380e-43f4-a4a2-06282fdf0443</t>
  </si>
  <si>
    <t>ORD201379</t>
  </si>
  <si>
    <t>64ccb208-0b8b-47b4-813c-7cee325ee8b6</t>
  </si>
  <si>
    <t>ORD201380</t>
  </si>
  <si>
    <t>f573f3ea-b5d3-430f-a04b-15798270b87b</t>
  </si>
  <si>
    <t>ORD201381</t>
  </si>
  <si>
    <t>d5f95e9a-43e0-4312-9108-116689b1db01</t>
  </si>
  <si>
    <t>ORD201382</t>
  </si>
  <si>
    <t>93b5ee53-85c3-42fb-848a-dbfa860d3b9c</t>
  </si>
  <si>
    <t>ORD201383</t>
  </si>
  <si>
    <t>381ef79a-2df1-4296-8bee-da00dbf6c0d6</t>
  </si>
  <si>
    <t>ORD201384</t>
  </si>
  <si>
    <t>fe02bbd1-f322-4053-8f9d-ed711becb92c</t>
  </si>
  <si>
    <t>ORD201385</t>
  </si>
  <si>
    <t>c90e6372-a663-4691-a888-b746333365fc</t>
  </si>
  <si>
    <t>ORD201386</t>
  </si>
  <si>
    <t>0d40adc3-edb7-43a6-b91e-5b2ff25bf3a1</t>
  </si>
  <si>
    <t>ORD201387</t>
  </si>
  <si>
    <t>3a43ae78-64ff-4782-8c0a-1e9e1388acad</t>
  </si>
  <si>
    <t>ORD201388</t>
  </si>
  <si>
    <t>1f6bb280-fde0-4088-8e44-30f6e76a1991</t>
  </si>
  <si>
    <t>ORD201389</t>
  </si>
  <si>
    <t>eb258010-059e-4efe-9344-6bb3fd2ccc7e</t>
  </si>
  <si>
    <t>ORD201390</t>
  </si>
  <si>
    <t>86d5f619-5d6e-4076-91be-96b919a1e81d</t>
  </si>
  <si>
    <t>ORD201391</t>
  </si>
  <si>
    <t>9693d7cc-ebf2-44c7-b714-b72ed4b3222c</t>
  </si>
  <si>
    <t>ORD201392</t>
  </si>
  <si>
    <t>a77b3ec7-f361-4a62-b7c4-546d57b2fc1d</t>
  </si>
  <si>
    <t>ORD201393</t>
  </si>
  <si>
    <t>de3cd7c2-41d0-4c94-a392-1d8bff69f99e</t>
  </si>
  <si>
    <t>ORD201394</t>
  </si>
  <si>
    <t>0085f90a-409f-4d07-9125-9c56b74a0a4b</t>
  </si>
  <si>
    <t>ORD201395</t>
  </si>
  <si>
    <t>3cd43da8-caeb-4c35-8526-830f98009c29</t>
  </si>
  <si>
    <t>ORD201396</t>
  </si>
  <si>
    <t>cb104b05-ab8a-4c96-b4e9-68cefea12c03</t>
  </si>
  <si>
    <t>ORD201397</t>
  </si>
  <si>
    <t>869d8888-143b-47f8-bb63-8ac451105a4a</t>
  </si>
  <si>
    <t>ORD201398</t>
  </si>
  <si>
    <t>73bdbe99-d5d0-4acb-aaa5-0d147d66b500</t>
  </si>
  <si>
    <t>ORD201399</t>
  </si>
  <si>
    <t>eecab984-27dc-4d8a-884f-099e212aeca2</t>
  </si>
  <si>
    <t>ORD201400</t>
  </si>
  <si>
    <t>5d8c2ccb-23c5-431e-a697-de0c90bfc4da</t>
  </si>
  <si>
    <t>ORD201401</t>
  </si>
  <si>
    <t>7a4ff231-5f1a-4c8e-935f-4e1909a9e076</t>
  </si>
  <si>
    <t>ORD201402</t>
  </si>
  <si>
    <t>7d9a1af4-9974-4e09-9eb7-92819e87f4bf</t>
  </si>
  <si>
    <t>ORD201403</t>
  </si>
  <si>
    <t>c727e30e-9d9b-4c1f-bb29-203bd1a60ac8</t>
  </si>
  <si>
    <t>ORD201404</t>
  </si>
  <si>
    <t>95988c75-e560-4a30-945e-39906b2296a5</t>
  </si>
  <si>
    <t>ORD201405</t>
  </si>
  <si>
    <t>c523a8b3-4053-4c36-b348-c091e96d2d51</t>
  </si>
  <si>
    <t>ORD201406</t>
  </si>
  <si>
    <t>3903bc03-fa07-444c-a96e-923fbb590c76</t>
  </si>
  <si>
    <t>ORD201407</t>
  </si>
  <si>
    <t>cac8abd8-baf7-4875-a4e2-8d30c18a1077</t>
  </si>
  <si>
    <t>ORD201408</t>
  </si>
  <si>
    <t>013a2515-a121-47cd-b012-549aa16d339e</t>
  </si>
  <si>
    <t>ORD201409</t>
  </si>
  <si>
    <t>dde920aa-a509-4eb6-8af3-8836008aeae1</t>
  </si>
  <si>
    <t>ORD201410</t>
  </si>
  <si>
    <t>d0f15dce-1cfe-404b-8dba-6a5a857ece17</t>
  </si>
  <si>
    <t>ORD201411</t>
  </si>
  <si>
    <t>a8a4336e-8a32-4090-a57b-f1648c38e4e7</t>
  </si>
  <si>
    <t>ORD201412</t>
  </si>
  <si>
    <t>65d6ce78-b37a-4cb4-ae66-3ba0ef6ad037</t>
  </si>
  <si>
    <t>ORD201413</t>
  </si>
  <si>
    <t>0e4f0807-e357-4ee6-b1ef-08cda532e21d</t>
  </si>
  <si>
    <t>ORD201414</t>
  </si>
  <si>
    <t>53d4efa8-9b9c-4a03-b56c-076d7aa13e01</t>
  </si>
  <si>
    <t>ORD201415</t>
  </si>
  <si>
    <t>e58f92d5-ee10-443f-b3c4-3bc9e63f1eb2</t>
  </si>
  <si>
    <t>ORD201416</t>
  </si>
  <si>
    <t>3d1675a5-e608-46dd-975f-099883ccda9d</t>
  </si>
  <si>
    <t>ORD201417</t>
  </si>
  <si>
    <t>cf610e9d-f795-4824-9e05-24595da8411c</t>
  </si>
  <si>
    <t>ORD201418</t>
  </si>
  <si>
    <t>6d02d35a-1387-4339-8098-312bc4783871</t>
  </si>
  <si>
    <t>ORD201419</t>
  </si>
  <si>
    <t>4537e517-5c87-4a93-b5a9-b84977cd8b99</t>
  </si>
  <si>
    <t>ORD201420</t>
  </si>
  <si>
    <t>aad830ee-d3aa-402e-940f-8e975c9d181e</t>
  </si>
  <si>
    <t>ORD201421</t>
  </si>
  <si>
    <t>1549ef63-9d7c-4b1c-abc2-2d364f02cfc6</t>
  </si>
  <si>
    <t>ORD201422</t>
  </si>
  <si>
    <t>92a9f82e-aaae-4fbc-adae-8615c23af8fa</t>
  </si>
  <si>
    <t>ORD201423</t>
  </si>
  <si>
    <t>53039a8a-00ce-40f2-8e7d-e52716c9a3aa</t>
  </si>
  <si>
    <t>ORD201424</t>
  </si>
  <si>
    <t>f61d3c41-b9b7-41a2-b6a6-bcd1d1a5cecf</t>
  </si>
  <si>
    <t>ORD201425</t>
  </si>
  <si>
    <t>a580bbe0-bf51-4d78-ab2d-078d151e8ec9</t>
  </si>
  <si>
    <t>ORD201426</t>
  </si>
  <si>
    <t>38d0307f-f9aa-4b75-8ec6-aa59d1ae011a</t>
  </si>
  <si>
    <t>ORD201427</t>
  </si>
  <si>
    <t>bfde0bdd-f1b1-46c6-95d4-8ec8c96ea8a7</t>
  </si>
  <si>
    <t>ORD201428</t>
  </si>
  <si>
    <t>e89c9a22-5d9a-4e4d-90ca-53429fbaa63d</t>
  </si>
  <si>
    <t>ORD201429</t>
  </si>
  <si>
    <t>16db07ce-c3ad-4ea7-aa1e-7812a5c24cee</t>
  </si>
  <si>
    <t>ORD201430</t>
  </si>
  <si>
    <t>80e793d9-78e7-4a9c-b4b4-1ad59992d598</t>
  </si>
  <si>
    <t>ORD201431</t>
  </si>
  <si>
    <t>9d163a84-31f4-4333-ba32-95ce739213a9</t>
  </si>
  <si>
    <t>ORD201432</t>
  </si>
  <si>
    <t>af6ae247-badc-4db5-94fb-e0a70f7fd78e</t>
  </si>
  <si>
    <t>ORD201433</t>
  </si>
  <si>
    <t>94cbfd62-0d67-44dc-bb86-b1a055cdfa08</t>
  </si>
  <si>
    <t>ORD201434</t>
  </si>
  <si>
    <t>9cf8545f-5f60-4c17-b2ad-005c2140429d</t>
  </si>
  <si>
    <t>ORD201435</t>
  </si>
  <si>
    <t>74e89f7a-1213-403b-8dca-e42edd5e54ee</t>
  </si>
  <si>
    <t>ORD201436</t>
  </si>
  <si>
    <t>d1149d2a-1fe9-4d93-8b65-7afdf4276a00</t>
  </si>
  <si>
    <t>ORD201437</t>
  </si>
  <si>
    <t>f81182c3-646c-456e-b09f-8232eb2adaeb</t>
  </si>
  <si>
    <t>ORD201438</t>
  </si>
  <si>
    <t>a64267c5-5ff1-449d-b51d-6bf8d17e9a84</t>
  </si>
  <si>
    <t>ORD201439</t>
  </si>
  <si>
    <t>d06a8f4f-9a2b-4b0e-a386-cbb7471a1e34</t>
  </si>
  <si>
    <t>ORD201440</t>
  </si>
  <si>
    <t>e4ec1a3c-8a34-41cb-90a8-eea0823ed807</t>
  </si>
  <si>
    <t>ORD201441</t>
  </si>
  <si>
    <t>24539180-dfbf-48e2-b23c-759ab76af6c0</t>
  </si>
  <si>
    <t>ORD201442</t>
  </si>
  <si>
    <t>6e8f09f6-7da2-4803-8f7a-46b70fbcbc41</t>
  </si>
  <si>
    <t>ORD201443</t>
  </si>
  <si>
    <t>225a2099-5cf6-48e3-b8f7-320d74abc103</t>
  </si>
  <si>
    <t>ORD201444</t>
  </si>
  <si>
    <t>ac4751dc-d50d-439d-b60a-97b735bcd546</t>
  </si>
  <si>
    <t>ORD201445</t>
  </si>
  <si>
    <t>89606fdf-994f-4628-9828-e854ac26b99d</t>
  </si>
  <si>
    <t>ORD201446</t>
  </si>
  <si>
    <t>94aff528-c62e-4c3b-8749-13295c9ad9b4</t>
  </si>
  <si>
    <t>ORD201447</t>
  </si>
  <si>
    <t>246ebe0a-6836-4c06-852d-16ee817c7703</t>
  </si>
  <si>
    <t>ORD201448</t>
  </si>
  <si>
    <t>a3c31637-661a-452e-abb2-2f34097f9e5f</t>
  </si>
  <si>
    <t>ORD201449</t>
  </si>
  <si>
    <t>29336156-eca9-4fc1-8b73-bcec8917a1b0</t>
  </si>
  <si>
    <t>ORD201450</t>
  </si>
  <si>
    <t>9e513bcc-e98c-419a-ba35-a700b7857bb0</t>
  </si>
  <si>
    <t>ORD201451</t>
  </si>
  <si>
    <t>3a8ead47-d2a6-43ca-930b-3cce1b5b0470</t>
  </si>
  <si>
    <t>ORD201452</t>
  </si>
  <si>
    <t>9d786847-3df0-438b-a16f-887fdeb7f2b9</t>
  </si>
  <si>
    <t>ORD201453</t>
  </si>
  <si>
    <t>91fc9559-a9cc-46ab-810c-2cf5adaaeebc</t>
  </si>
  <si>
    <t>ORD201454</t>
  </si>
  <si>
    <t>dfd34f9b-57cc-4677-b824-da79c85a6fbf</t>
  </si>
  <si>
    <t>ORD201455</t>
  </si>
  <si>
    <t>ca84bb1e-aa3b-4e17-8689-61b724c5e4a5</t>
  </si>
  <si>
    <t>ORD201456</t>
  </si>
  <si>
    <t>8965ed2f-4f06-4577-9fe5-3d1f387f8421</t>
  </si>
  <si>
    <t>ORD201457</t>
  </si>
  <si>
    <t>adb0f659-b026-44e6-b1f2-48ada7c3e753</t>
  </si>
  <si>
    <t>ORD201458</t>
  </si>
  <si>
    <t>ca924156-c13c-44b4-b7c9-3eced24393b2</t>
  </si>
  <si>
    <t>ORD201459</t>
  </si>
  <si>
    <t>8c894471-fc83-42af-acdf-8b0fca523618</t>
  </si>
  <si>
    <t>ORD201460</t>
  </si>
  <si>
    <t>0816bca8-6959-4a2b-b964-7e165b2b00ed</t>
  </si>
  <si>
    <t>ORD201461</t>
  </si>
  <si>
    <t>fa4b5865-005c-4e41-958b-d9eebae96d8c</t>
  </si>
  <si>
    <t>ORD201462</t>
  </si>
  <si>
    <t>4f825ed3-2a94-4eb2-b637-9365926957df</t>
  </si>
  <si>
    <t>ORD201463</t>
  </si>
  <si>
    <t>0e8b82ee-9dcd-4d4f-afe6-234a86c71500</t>
  </si>
  <si>
    <t>ORD201464</t>
  </si>
  <si>
    <t>efbe7362-6df0-4ae4-8764-9a97b5f6dab0</t>
  </si>
  <si>
    <t>ORD201465</t>
  </si>
  <si>
    <t>6aac7041-3dcc-42e4-b9bd-c8f8063bdd5a</t>
  </si>
  <si>
    <t>ORD201466</t>
  </si>
  <si>
    <t>5f179d1d-0818-4e87-84d3-c54f7a41f872</t>
  </si>
  <si>
    <t>ORD201467</t>
  </si>
  <si>
    <t>ee6f3bb1-3eff-4c0c-b31c-835b514cb440</t>
  </si>
  <si>
    <t>ORD201468</t>
  </si>
  <si>
    <t>b111443f-719e-4f02-bb5b-ecf6dbbba622</t>
  </si>
  <si>
    <t>ORD201469</t>
  </si>
  <si>
    <t>0c261480-8448-4380-8de4-5f8c66ea6f4d</t>
  </si>
  <si>
    <t>ORD201470</t>
  </si>
  <si>
    <t>e8aaad60-51bb-49c2-9b58-7b19bee07e3a</t>
  </si>
  <si>
    <t>ORD201471</t>
  </si>
  <si>
    <t>34980721-07b1-4649-a335-748232540a40</t>
  </si>
  <si>
    <t>ORD201472</t>
  </si>
  <si>
    <t>86eff68c-cc21-4693-9dc7-a3e1bb82a344</t>
  </si>
  <si>
    <t>ORD201473</t>
  </si>
  <si>
    <t>98e17b0c-165f-4a2f-8b5f-787c0a8fa05c</t>
  </si>
  <si>
    <t>ORD201474</t>
  </si>
  <si>
    <t>1d2c4597-ee3c-4d57-80f9-d20b0784efc4</t>
  </si>
  <si>
    <t>ORD201475</t>
  </si>
  <si>
    <t>89aecead-7980-4539-887a-6221e5d1d997</t>
  </si>
  <si>
    <t>ORD201476</t>
  </si>
  <si>
    <t>4b5cfaaf-2425-4ccc-af5d-efc4d5131c1a</t>
  </si>
  <si>
    <t>ORD201477</t>
  </si>
  <si>
    <t>9c768e27-359d-4565-ae08-83810fdfefa8</t>
  </si>
  <si>
    <t>ORD201478</t>
  </si>
  <si>
    <t>ccfa4f6e-7893-48b4-8f3e-32fc4919cec7</t>
  </si>
  <si>
    <t>ORD201479</t>
  </si>
  <si>
    <t>f132d209-5449-4291-b520-f93864f2d542</t>
  </si>
  <si>
    <t>ORD201480</t>
  </si>
  <si>
    <t>fd5c5ab0-ca4e-49ae-a617-508abf2fcea4</t>
  </si>
  <si>
    <t>ORD201481</t>
  </si>
  <si>
    <t>46f8c981-92bd-4c71-b3bd-be215f74c4a5</t>
  </si>
  <si>
    <t>ORD201482</t>
  </si>
  <si>
    <t>02955b83-57ec-4117-be91-85c5e26384b3</t>
  </si>
  <si>
    <t>ORD201483</t>
  </si>
  <si>
    <t>0af5bb0d-5caf-4ef9-a263-2e63f5879334</t>
  </si>
  <si>
    <t>ORD201484</t>
  </si>
  <si>
    <t>363b848c-8afb-4253-a8c8-711dd62ef812</t>
  </si>
  <si>
    <t>ORD201485</t>
  </si>
  <si>
    <t>ca71fa41-d332-4e9a-a7a0-69fe29f38e95</t>
  </si>
  <si>
    <t>ORD201486</t>
  </si>
  <si>
    <t>7e5b2e87-3ece-4218-a616-7df35329fe1a</t>
  </si>
  <si>
    <t>ORD201487</t>
  </si>
  <si>
    <t>b708ab38-e643-408c-919f-e70c4c47ac99</t>
  </si>
  <si>
    <t>ORD201488</t>
  </si>
  <si>
    <t>03e159d7-4b4f-4a9f-ac30-e5271b00b942</t>
  </si>
  <si>
    <t>ORD201489</t>
  </si>
  <si>
    <t>253c182d-875f-4d9c-b488-157bb0e7e8e9</t>
  </si>
  <si>
    <t>ORD201490</t>
  </si>
  <si>
    <t>fd050f7b-4497-4e1f-8750-ac6ac4c921a7</t>
  </si>
  <si>
    <t>ORD201491</t>
  </si>
  <si>
    <t>37b9ed62-f5e3-4c74-a694-b03df346d767</t>
  </si>
  <si>
    <t>ORD201492</t>
  </si>
  <si>
    <t>fcb7308f-6d3b-4284-8159-ba814b994142</t>
  </si>
  <si>
    <t>ORD201493</t>
  </si>
  <si>
    <t>88fc578a-b5c1-4514-853b-182bd73aeadb</t>
  </si>
  <si>
    <t>ORD201494</t>
  </si>
  <si>
    <t>9772bb48-cd6c-4396-88eb-ad181a07b038</t>
  </si>
  <si>
    <t>ORD201495</t>
  </si>
  <si>
    <t>1d72cce6-a6e6-481b-a9ac-37c3b4b07627</t>
  </si>
  <si>
    <t>ORD201496</t>
  </si>
  <si>
    <t>6578eef7-77c2-4542-9a8e-01fcb5e38e15</t>
  </si>
  <si>
    <t>ORD201497</t>
  </si>
  <si>
    <t>71b0561f-b050-40db-b729-ec6928ce9c43</t>
  </si>
  <si>
    <t>ORD201498</t>
  </si>
  <si>
    <t>2affd30f-257a-4281-9cdd-f799cbb0745b</t>
  </si>
  <si>
    <t>ORD201499</t>
  </si>
  <si>
    <t>41bb1fbd-4238-456c-8d1c-2682733f7294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</si>
</sst>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[sales_project.xlsx]Sheet2!PivotTable1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Sheet2!$A$4:$A$17</c:f>
              <c:strCache>
                <c:ptCount val="13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</c:strCache>
            </c:strRef>
          </c:cat>
          <c:val>
            <c:numRef>
              <c:f>Sheet2!$B$4:$B$17</c:f>
              <c:numCache>
                <c:formatCode>General</c:formatCode>
                <c:ptCount val="13"/>
                <c:pt idx="0">
                  <c:v>9023.1500000000015</c:v>
                </c:pt>
                <c:pt idx="1">
                  <c:v>15324.619999999997</c:v>
                </c:pt>
                <c:pt idx="2">
                  <c:v>12740.519999999999</c:v>
                </c:pt>
                <c:pt idx="3">
                  <c:v>11666.499999999998</c:v>
                </c:pt>
                <c:pt idx="4">
                  <c:v>12064.189999999997</c:v>
                </c:pt>
                <c:pt idx="5">
                  <c:v>12274.839999999995</c:v>
                </c:pt>
                <c:pt idx="6">
                  <c:v>12426.109999999993</c:v>
                </c:pt>
                <c:pt idx="7">
                  <c:v>13302.830000000005</c:v>
                </c:pt>
                <c:pt idx="8">
                  <c:v>12203.150000000003</c:v>
                </c:pt>
                <c:pt idx="9">
                  <c:v>12901.800000000001</c:v>
                </c:pt>
                <c:pt idx="10">
                  <c:v>14062.57</c:v>
                </c:pt>
                <c:pt idx="11">
                  <c:v>14908.239999999998</c:v>
                </c:pt>
                <c:pt idx="12">
                  <c:v>939.26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93-41D1-9E55-1108CE6F1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3955759"/>
        <c:axId val="1523954799"/>
      </c:lineChart>
      <c:catAx>
        <c:axId val="152395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954799"/>
        <c:crosses val="autoZero"/>
        <c:auto val="1"/>
        <c:lblAlgn val="ctr"/>
        <c:lblOffset val="100"/>
        <c:noMultiLvlLbl val="0"/>
      </c:catAx>
      <c:valAx>
        <c:axId val="152395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95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[sales_project.xlsx]Sheet4!PivotTable2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Sheet4!$A$4:$A$16</c:f>
              <c:strCache>
                <c:ptCount val="12"/>
                <c:pt idx="0">
                  <c:v>Flower &amp; Chocolate</c:v>
                </c:pt>
                <c:pt idx="1">
                  <c:v>Plant &amp; Mug</c:v>
                </c:pt>
                <c:pt idx="2">
                  <c:v>Spa Gift Set</c:v>
                </c:pt>
                <c:pt idx="3">
                  <c:v>Tulips</c:v>
                </c:pt>
                <c:pt idx="4">
                  <c:v>Succulents</c:v>
                </c:pt>
                <c:pt idx="5">
                  <c:v>Orchids</c:v>
                </c:pt>
                <c:pt idx="6">
                  <c:v>Cacti</c:v>
                </c:pt>
                <c:pt idx="7">
                  <c:v>Lilies</c:v>
                </c:pt>
                <c:pt idx="8">
                  <c:v>Sunflowers</c:v>
                </c:pt>
                <c:pt idx="9">
                  <c:v>Ferns</c:v>
                </c:pt>
                <c:pt idx="10">
                  <c:v>Daisies</c:v>
                </c:pt>
                <c:pt idx="11">
                  <c:v>Roses</c:v>
                </c:pt>
              </c:strCache>
            </c:strRef>
          </c:cat>
          <c:val>
            <c:numRef>
              <c:f>Sheet4!$B$4:$B$16</c:f>
              <c:numCache>
                <c:formatCode>General</c:formatCode>
                <c:ptCount val="12"/>
                <c:pt idx="0">
                  <c:v>18812.060000000001</c:v>
                </c:pt>
                <c:pt idx="1">
                  <c:v>17401.660000000003</c:v>
                </c:pt>
                <c:pt idx="2">
                  <c:v>16244.369999999994</c:v>
                </c:pt>
                <c:pt idx="3">
                  <c:v>13271.050000000008</c:v>
                </c:pt>
                <c:pt idx="4">
                  <c:v>12582.309999999998</c:v>
                </c:pt>
                <c:pt idx="5">
                  <c:v>12038</c:v>
                </c:pt>
                <c:pt idx="6">
                  <c:v>11895.12</c:v>
                </c:pt>
                <c:pt idx="7">
                  <c:v>11173.379999999996</c:v>
                </c:pt>
                <c:pt idx="8">
                  <c:v>10325.110000000002</c:v>
                </c:pt>
                <c:pt idx="9">
                  <c:v>10096.340000000004</c:v>
                </c:pt>
                <c:pt idx="10">
                  <c:v>10028.000000000004</c:v>
                </c:pt>
                <c:pt idx="11">
                  <c:v>9970.3799999999956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9-49F1-81A7-9311B0A84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9922799"/>
        <c:axId val="1089922319"/>
      </c:barChart>
      <c:catAx>
        <c:axId val="108992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922319"/>
        <c:crosses val="autoZero"/>
        <c:auto val="1"/>
        <c:lblAlgn val="ctr"/>
        <c:lblOffset val="100"/>
        <c:noMultiLvlLbl val="0"/>
      </c:catAx>
      <c:valAx>
        <c:axId val="108992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92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[sales_project.xlsx]Sheet5!PivotTable3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AA-46DA-A672-12EC738A39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AA-46DA-A672-12EC738A39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AA-46DA-A672-12EC738A399B}"/>
              </c:ext>
            </c:extLst>
          </c:dPt>
          <c:cat>
            <c:strRef>
              <c:f>Sheet5!$A$4:$A$7</c:f>
              <c:strCache>
                <c:ptCount val="3"/>
                <c:pt idx="0">
                  <c:v>Flowers</c:v>
                </c:pt>
                <c:pt idx="1">
                  <c:v>Gift Sets</c:v>
                </c:pt>
                <c:pt idx="2">
                  <c:v>Plants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54767.919999999955</c:v>
                </c:pt>
                <c:pt idx="1">
                  <c:v>52458.089999999989</c:v>
                </c:pt>
                <c:pt idx="2">
                  <c:v>46611.770000000004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F3-4934-882A-02AB49117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[sales_project.xlsx]Sheet6!PivotTable4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Sheet6!$A$4:$A$9</c:f>
              <c:strCache>
                <c:ptCount val="5"/>
                <c:pt idx="0">
                  <c:v>Birmingham</c:v>
                </c:pt>
                <c:pt idx="1">
                  <c:v>Leeds</c:v>
                </c:pt>
                <c:pt idx="2">
                  <c:v>Manchester</c:v>
                </c:pt>
                <c:pt idx="3">
                  <c:v>Liverpool</c:v>
                </c:pt>
                <c:pt idx="4">
                  <c:v>London</c:v>
                </c:pt>
              </c:strCache>
            </c:strRef>
          </c:cat>
          <c:val>
            <c:numRef>
              <c:f>Sheet6!$B$4:$B$9</c:f>
              <c:numCache>
                <c:formatCode>General</c:formatCode>
                <c:ptCount val="5"/>
                <c:pt idx="0">
                  <c:v>34311.829999999958</c:v>
                </c:pt>
                <c:pt idx="1">
                  <c:v>31150.850000000002</c:v>
                </c:pt>
                <c:pt idx="2">
                  <c:v>30316.43</c:v>
                </c:pt>
                <c:pt idx="3">
                  <c:v>29831.159999999989</c:v>
                </c:pt>
                <c:pt idx="4">
                  <c:v>28227.51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B9-40C3-9E24-327612DDB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204831"/>
        <c:axId val="107224511"/>
      </c:barChart>
      <c:catAx>
        <c:axId val="107204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24511"/>
        <c:crosses val="autoZero"/>
        <c:auto val="1"/>
        <c:lblAlgn val="ctr"/>
        <c:lblOffset val="100"/>
        <c:noMultiLvlLbl val="0"/>
      </c:catAx>
      <c:valAx>
        <c:axId val="10722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04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[sales_project.xlsx]Sheet7!PivotTable5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Sheet7!$A$4:$A$24</c:f>
              <c:multiLvlStrCache>
                <c:ptCount val="15"/>
                <c:lvl>
                  <c:pt idx="0">
                    <c:v>Flowers</c:v>
                  </c:pt>
                  <c:pt idx="1">
                    <c:v>Gift Sets</c:v>
                  </c:pt>
                  <c:pt idx="2">
                    <c:v>Plants</c:v>
                  </c:pt>
                  <c:pt idx="3">
                    <c:v>Flowers</c:v>
                  </c:pt>
                  <c:pt idx="4">
                    <c:v>Gift Sets</c:v>
                  </c:pt>
                  <c:pt idx="5">
                    <c:v>Plants</c:v>
                  </c:pt>
                  <c:pt idx="6">
                    <c:v>Flowers</c:v>
                  </c:pt>
                  <c:pt idx="7">
                    <c:v>Gift Sets</c:v>
                  </c:pt>
                  <c:pt idx="8">
                    <c:v>Plants</c:v>
                  </c:pt>
                  <c:pt idx="9">
                    <c:v>Flowers</c:v>
                  </c:pt>
                  <c:pt idx="10">
                    <c:v>Gift Sets</c:v>
                  </c:pt>
                  <c:pt idx="11">
                    <c:v>Plants</c:v>
                  </c:pt>
                  <c:pt idx="12">
                    <c:v>Flowers</c:v>
                  </c:pt>
                  <c:pt idx="13">
                    <c:v>Gift Sets</c:v>
                  </c:pt>
                  <c:pt idx="14">
                    <c:v>Plants</c:v>
                  </c:pt>
                </c:lvl>
                <c:lvl>
                  <c:pt idx="0">
                    <c:v>Birmingham</c:v>
                  </c:pt>
                  <c:pt idx="3">
                    <c:v>Leeds</c:v>
                  </c:pt>
                  <c:pt idx="6">
                    <c:v>Liverpool</c:v>
                  </c:pt>
                  <c:pt idx="9">
                    <c:v>London</c:v>
                  </c:pt>
                  <c:pt idx="12">
                    <c:v>Manchester</c:v>
                  </c:pt>
                </c:lvl>
              </c:multiLvlStrCache>
            </c:multiLvlStrRef>
          </c:cat>
          <c:val>
            <c:numRef>
              <c:f>Sheet7!$B$4:$B$24</c:f>
              <c:numCache>
                <c:formatCode>General</c:formatCode>
                <c:ptCount val="15"/>
                <c:pt idx="0">
                  <c:v>10790.860000000002</c:v>
                </c:pt>
                <c:pt idx="1">
                  <c:v>11814.579999999994</c:v>
                </c:pt>
                <c:pt idx="2">
                  <c:v>11706.390000000001</c:v>
                </c:pt>
                <c:pt idx="3">
                  <c:v>10857.66</c:v>
                </c:pt>
                <c:pt idx="4">
                  <c:v>10966.62</c:v>
                </c:pt>
                <c:pt idx="5">
                  <c:v>9326.5699999999979</c:v>
                </c:pt>
                <c:pt idx="6">
                  <c:v>11872.290000000003</c:v>
                </c:pt>
                <c:pt idx="7">
                  <c:v>9679.2599999999984</c:v>
                </c:pt>
                <c:pt idx="8">
                  <c:v>8279.6099999999988</c:v>
                </c:pt>
                <c:pt idx="9">
                  <c:v>11433.57</c:v>
                </c:pt>
                <c:pt idx="10">
                  <c:v>8623.84</c:v>
                </c:pt>
                <c:pt idx="11">
                  <c:v>8170.1000000000013</c:v>
                </c:pt>
                <c:pt idx="12">
                  <c:v>9813.5400000000009</c:v>
                </c:pt>
                <c:pt idx="13">
                  <c:v>11373.789999999997</c:v>
                </c:pt>
                <c:pt idx="14">
                  <c:v>9129.1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8-482E-80BF-417552BF9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618095"/>
        <c:axId val="131615215"/>
      </c:barChart>
      <c:catAx>
        <c:axId val="13161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15215"/>
        <c:crosses val="autoZero"/>
        <c:auto val="1"/>
        <c:lblAlgn val="ctr"/>
        <c:lblOffset val="100"/>
        <c:noMultiLvlLbl val="0"/>
      </c:catAx>
      <c:valAx>
        <c:axId val="13161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1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18</xdr:row>
      <xdr:rowOff>147637</xdr:rowOff>
    </xdr:from>
    <xdr:to>
      <xdr:col>7</xdr:col>
      <xdr:colOff>47625</xdr:colOff>
      <xdr:row>33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7792A-D832-ED4B-0CBE-89B527C2F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18</xdr:row>
      <xdr:rowOff>90487</xdr:rowOff>
    </xdr:from>
    <xdr:to>
      <xdr:col>6</xdr:col>
      <xdr:colOff>266700</xdr:colOff>
      <xdr:row>32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D32C4-554C-6A26-06D2-04EAEEFF32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11</xdr:row>
      <xdr:rowOff>42862</xdr:rowOff>
    </xdr:from>
    <xdr:to>
      <xdr:col>6</xdr:col>
      <xdr:colOff>600075</xdr:colOff>
      <xdr:row>25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036D16-9E59-4BAC-C690-F15780FBA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17</xdr:row>
      <xdr:rowOff>61912</xdr:rowOff>
    </xdr:from>
    <xdr:to>
      <xdr:col>7</xdr:col>
      <xdr:colOff>152400</xdr:colOff>
      <xdr:row>31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1B5C30-249F-9440-CD4E-6AC0EE60D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24</xdr:row>
      <xdr:rowOff>176212</xdr:rowOff>
    </xdr:from>
    <xdr:to>
      <xdr:col>6</xdr:col>
      <xdr:colOff>552450</xdr:colOff>
      <xdr:row>39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0781B1-5704-D4B5-FC59-30FE1D36B5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 Wagh" refreshedDate="45751.91062037037" createdVersion="8" refreshedVersion="8" minRefreshableVersion="3" recordCount="1500" xr:uid="{B9D7F221-0EA4-4947-8FC4-BF5620485069}">
  <cacheSource type="worksheet">
    <worksheetSource ref="A1:J1501" sheet="Sheet1"/>
  </cacheSource>
  <cacheFields count="10">
    <cacheField name="Order ID" numFmtId="0">
      <sharedItems/>
    </cacheField>
    <cacheField name="Product" numFmtId="0">
      <sharedItems count="12">
        <s v="Orchids"/>
        <s v="Lilies"/>
        <s v="Roses"/>
        <s v="Flower &amp; Chocolate"/>
        <s v="Ferns"/>
        <s v="Spa Gift Set"/>
        <s v="Tulips"/>
        <s v="Sunflowers"/>
        <s v="Cacti"/>
        <s v="Plant &amp; Mug"/>
        <s v="Succulents"/>
        <s v="Daisies"/>
      </sharedItems>
    </cacheField>
    <cacheField name="Category" numFmtId="0">
      <sharedItems count="3">
        <s v="Plants"/>
        <s v="Flowers"/>
        <s v="Gift Sets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minValue="10.02" maxValue="59.99"/>
    </cacheField>
    <cacheField name="Month" numFmtId="0">
      <sharedItems count="13">
        <s v="2024-09"/>
        <s v="2024-05"/>
        <s v="2025-01"/>
        <s v="2024-07"/>
        <s v="2024-11"/>
        <s v="2025-02"/>
        <s v="2025-03"/>
        <s v="2024-10"/>
        <s v="2024-06"/>
        <s v="2024-08"/>
        <s v="2024-04"/>
        <s v="2024-12"/>
        <s v="2025-04"/>
      </sharedItems>
    </cacheField>
    <cacheField name="Revenue" numFmtId="0">
      <sharedItems containsSemiMixedTypes="0" containsString="0" containsNumber="1" minValue="10.210000000000001" maxValue="299.45"/>
    </cacheField>
    <cacheField name="Order Date" numFmtId="164">
      <sharedItems containsSemiMixedTypes="0" containsNonDate="0" containsDate="1" containsString="0" minDate="2024-04-04T20:34:59" maxDate="2025-04-03T20:34:59"/>
    </cacheField>
    <cacheField name="Region" numFmtId="0">
      <sharedItems count="5">
        <s v="Liverpool"/>
        <s v="London"/>
        <s v="Birmingham"/>
        <s v="Manchester"/>
        <s v="Leeds"/>
      </sharedItems>
    </cacheField>
    <cacheField name="Custome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ORD200000"/>
    <x v="0"/>
    <x v="0"/>
    <n v="4"/>
    <n v="27.79"/>
    <x v="0"/>
    <n v="111.16"/>
    <d v="2024-09-28T20:34:59"/>
    <x v="0"/>
    <s v="1a2d4c35-e1ca-4901-9361-ae8ae239c07d"/>
  </r>
  <r>
    <s v="ORD200001"/>
    <x v="1"/>
    <x v="1"/>
    <n v="3"/>
    <n v="10.6"/>
    <x v="1"/>
    <n v="31.799999999999997"/>
    <d v="2024-05-24T20:34:59"/>
    <x v="1"/>
    <s v="a8e0d51b-8eec-4880-8c01-8006f28c9860"/>
  </r>
  <r>
    <s v="ORD200002"/>
    <x v="2"/>
    <x v="1"/>
    <n v="4"/>
    <n v="11.32"/>
    <x v="2"/>
    <n v="45.28"/>
    <d v="2025-01-21T20:34:59"/>
    <x v="1"/>
    <s v="c86434a9-879a-4cff-915d-64827699c732"/>
  </r>
  <r>
    <s v="ORD200003"/>
    <x v="3"/>
    <x v="2"/>
    <n v="1"/>
    <n v="34.31"/>
    <x v="3"/>
    <n v="34.31"/>
    <d v="2024-07-23T20:34:59"/>
    <x v="0"/>
    <s v="4deda31d-e916-4cb1-98ba-f1e6c2236cd4"/>
  </r>
  <r>
    <s v="ORD200004"/>
    <x v="4"/>
    <x v="0"/>
    <n v="2"/>
    <n v="10.09"/>
    <x v="4"/>
    <n v="20.18"/>
    <d v="2024-11-28T20:34:59"/>
    <x v="2"/>
    <s v="0ab588e6-fdda-49df-83e2-b305456c0a97"/>
  </r>
  <r>
    <s v="ORD200005"/>
    <x v="3"/>
    <x v="2"/>
    <n v="3"/>
    <n v="14.3"/>
    <x v="1"/>
    <n v="42.900000000000006"/>
    <d v="2024-05-26T20:34:59"/>
    <x v="1"/>
    <s v="4e8b26a0-b142-46b6-86f2-e43f696260a8"/>
  </r>
  <r>
    <s v="ORD200006"/>
    <x v="5"/>
    <x v="2"/>
    <n v="1"/>
    <n v="59.97"/>
    <x v="5"/>
    <n v="59.97"/>
    <d v="2025-02-12T20:34:59"/>
    <x v="0"/>
    <s v="e30a76ba-fd98-462b-aabd-0647c49704da"/>
  </r>
  <r>
    <s v="ORD200007"/>
    <x v="0"/>
    <x v="0"/>
    <n v="4"/>
    <n v="29.78"/>
    <x v="5"/>
    <n v="119.12"/>
    <d v="2025-02-09T20:34:59"/>
    <x v="3"/>
    <s v="74f7afbf-f462-4c66-a4df-136045d72c7c"/>
  </r>
  <r>
    <s v="ORD200008"/>
    <x v="6"/>
    <x v="1"/>
    <n v="5"/>
    <n v="57.15"/>
    <x v="6"/>
    <n v="285.75"/>
    <d v="2025-03-06T20:34:59"/>
    <x v="4"/>
    <s v="f7c729c7-aec4-4f51-af6c-2bf1431241ef"/>
  </r>
  <r>
    <s v="ORD200009"/>
    <x v="0"/>
    <x v="0"/>
    <n v="4"/>
    <n v="16.920000000000002"/>
    <x v="7"/>
    <n v="67.680000000000007"/>
    <d v="2024-10-10T20:34:59"/>
    <x v="3"/>
    <s v="399062b9-8c96-43f3-870d-d32cfe527c95"/>
  </r>
  <r>
    <s v="ORD200010"/>
    <x v="7"/>
    <x v="1"/>
    <n v="2"/>
    <n v="49.92"/>
    <x v="7"/>
    <n v="99.84"/>
    <d v="2024-10-28T20:34:59"/>
    <x v="0"/>
    <s v="d8fb979d-8b16-4615-bae9-c7c503badabf"/>
  </r>
  <r>
    <s v="ORD200011"/>
    <x v="8"/>
    <x v="0"/>
    <n v="5"/>
    <n v="23.16"/>
    <x v="1"/>
    <n v="115.8"/>
    <d v="2024-05-19T20:34:59"/>
    <x v="4"/>
    <s v="2af7e190-f3f3-4dea-96b2-04290f04436f"/>
  </r>
  <r>
    <s v="ORD200012"/>
    <x v="2"/>
    <x v="1"/>
    <n v="2"/>
    <n v="56.76"/>
    <x v="4"/>
    <n v="113.52"/>
    <d v="2024-11-03T20:34:59"/>
    <x v="0"/>
    <s v="a3bc9f9a-77e1-4632-88e0-5de51fd53906"/>
  </r>
  <r>
    <s v="ORD200013"/>
    <x v="1"/>
    <x v="1"/>
    <n v="5"/>
    <n v="40.549999999999997"/>
    <x v="8"/>
    <n v="202.75"/>
    <d v="2024-06-10T20:34:59"/>
    <x v="2"/>
    <s v="a13fdb5d-a400-49b2-bebd-9c295fabc44a"/>
  </r>
  <r>
    <s v="ORD200014"/>
    <x v="8"/>
    <x v="0"/>
    <n v="3"/>
    <n v="49.83"/>
    <x v="9"/>
    <n v="149.49"/>
    <d v="2024-08-09T20:34:59"/>
    <x v="0"/>
    <s v="43605f9c-709e-4515-a35a-a68f4d71702e"/>
  </r>
  <r>
    <s v="ORD200015"/>
    <x v="3"/>
    <x v="2"/>
    <n v="2"/>
    <n v="28.18"/>
    <x v="7"/>
    <n v="56.36"/>
    <d v="2024-10-13T20:34:59"/>
    <x v="1"/>
    <s v="91fcf7a3-17ba-4fb5-bf63-760006440511"/>
  </r>
  <r>
    <s v="ORD200016"/>
    <x v="2"/>
    <x v="1"/>
    <n v="2"/>
    <n v="55.47"/>
    <x v="9"/>
    <n v="110.94"/>
    <d v="2024-08-31T20:34:59"/>
    <x v="3"/>
    <s v="0cb3cd53-7cb9-4b20-a70b-afa801e06cd2"/>
  </r>
  <r>
    <s v="ORD200017"/>
    <x v="2"/>
    <x v="1"/>
    <n v="4"/>
    <n v="38.14"/>
    <x v="1"/>
    <n v="152.56"/>
    <d v="2024-05-18T20:34:59"/>
    <x v="1"/>
    <s v="aa5a834c-322f-43e6-a57d-7ed16901f1a9"/>
  </r>
  <r>
    <s v="ORD200018"/>
    <x v="1"/>
    <x v="1"/>
    <n v="1"/>
    <n v="33.46"/>
    <x v="10"/>
    <n v="33.46"/>
    <d v="2024-04-22T20:34:59"/>
    <x v="1"/>
    <s v="afeb124a-8a82-4bfd-b2fd-e74a2ac0468b"/>
  </r>
  <r>
    <s v="ORD200019"/>
    <x v="8"/>
    <x v="0"/>
    <n v="2"/>
    <n v="12.22"/>
    <x v="2"/>
    <n v="24.44"/>
    <d v="2025-01-01T20:34:59"/>
    <x v="4"/>
    <s v="2d1b2286-e025-4907-ae5c-a9e34e29ec0f"/>
  </r>
  <r>
    <s v="ORD200020"/>
    <x v="8"/>
    <x v="0"/>
    <n v="3"/>
    <n v="49.35"/>
    <x v="9"/>
    <n v="148.05000000000001"/>
    <d v="2024-08-14T20:34:59"/>
    <x v="2"/>
    <s v="5eacb3a0-1e9b-48e6-a846-24c52c81d589"/>
  </r>
  <r>
    <s v="ORD200021"/>
    <x v="4"/>
    <x v="0"/>
    <n v="3"/>
    <n v="24.44"/>
    <x v="4"/>
    <n v="73.320000000000007"/>
    <d v="2024-11-03T20:34:59"/>
    <x v="4"/>
    <s v="90251e06-5ff0-423f-a99e-ca1506efcda0"/>
  </r>
  <r>
    <s v="ORD200022"/>
    <x v="6"/>
    <x v="1"/>
    <n v="5"/>
    <n v="26.48"/>
    <x v="7"/>
    <n v="132.4"/>
    <d v="2024-10-21T20:34:59"/>
    <x v="0"/>
    <s v="77127bcd-2af0-43f6-b751-aa8583e8d44b"/>
  </r>
  <r>
    <s v="ORD200023"/>
    <x v="1"/>
    <x v="1"/>
    <n v="4"/>
    <n v="55.55"/>
    <x v="11"/>
    <n v="222.2"/>
    <d v="2024-12-21T20:34:59"/>
    <x v="2"/>
    <s v="99f32589-47e2-4508-ad43-03a0427313fb"/>
  </r>
  <r>
    <s v="ORD200024"/>
    <x v="9"/>
    <x v="2"/>
    <n v="2"/>
    <n v="32.26"/>
    <x v="10"/>
    <n v="64.52"/>
    <d v="2024-04-11T20:34:59"/>
    <x v="4"/>
    <s v="c16d56ca-c2f3-49f2-9702-fa8b7a0d0b92"/>
  </r>
  <r>
    <s v="ORD200025"/>
    <x v="0"/>
    <x v="0"/>
    <n v="1"/>
    <n v="54.89"/>
    <x v="0"/>
    <n v="54.89"/>
    <d v="2024-09-25T20:34:59"/>
    <x v="4"/>
    <s v="148c9c3f-00cc-4fec-8351-cb4b49a0355e"/>
  </r>
  <r>
    <s v="ORD200026"/>
    <x v="10"/>
    <x v="0"/>
    <n v="5"/>
    <n v="45.71"/>
    <x v="9"/>
    <n v="228.55"/>
    <d v="2024-08-06T20:34:59"/>
    <x v="2"/>
    <s v="c30ea41c-d424-472d-b727-b0d88046e736"/>
  </r>
  <r>
    <s v="ORD200027"/>
    <x v="0"/>
    <x v="0"/>
    <n v="4"/>
    <n v="47.8"/>
    <x v="7"/>
    <n v="191.2"/>
    <d v="2024-10-18T20:34:59"/>
    <x v="2"/>
    <s v="aec8180e-f8ca-4163-98e6-7d939a3d017f"/>
  </r>
  <r>
    <s v="ORD200028"/>
    <x v="11"/>
    <x v="1"/>
    <n v="3"/>
    <n v="35.51"/>
    <x v="8"/>
    <n v="106.53"/>
    <d v="2024-06-20T20:34:59"/>
    <x v="0"/>
    <s v="1ef700b3-e14b-438f-b47d-188929deec5c"/>
  </r>
  <r>
    <s v="ORD200029"/>
    <x v="8"/>
    <x v="0"/>
    <n v="5"/>
    <n v="14.51"/>
    <x v="7"/>
    <n v="72.55"/>
    <d v="2024-10-02T20:34:59"/>
    <x v="3"/>
    <s v="14bc5c50-9581-459f-9be5-58d8f371c242"/>
  </r>
  <r>
    <s v="ORD200030"/>
    <x v="1"/>
    <x v="1"/>
    <n v="4"/>
    <n v="44.71"/>
    <x v="3"/>
    <n v="178.84"/>
    <d v="2024-07-04T20:34:59"/>
    <x v="2"/>
    <s v="ebc4ec86-2ca9-4ea6-8b0c-26bd27dbc8ef"/>
  </r>
  <r>
    <s v="ORD200031"/>
    <x v="11"/>
    <x v="1"/>
    <n v="4"/>
    <n v="51.01"/>
    <x v="2"/>
    <n v="204.04"/>
    <d v="2025-01-06T20:34:59"/>
    <x v="4"/>
    <s v="e365b8de-77bc-48e2-9377-4b5ac707deb7"/>
  </r>
  <r>
    <s v="ORD200032"/>
    <x v="10"/>
    <x v="0"/>
    <n v="3"/>
    <n v="29.59"/>
    <x v="0"/>
    <n v="88.77"/>
    <d v="2024-09-23T20:34:59"/>
    <x v="1"/>
    <s v="95d5f58a-f0e4-44fb-a7b7-f6ee6c3399f4"/>
  </r>
  <r>
    <s v="ORD200033"/>
    <x v="8"/>
    <x v="0"/>
    <n v="1"/>
    <n v="17.68"/>
    <x v="11"/>
    <n v="17.68"/>
    <d v="2024-12-07T20:34:59"/>
    <x v="1"/>
    <s v="4da6e1d7-b4a6-42f0-9d2a-5886e132b7b9"/>
  </r>
  <r>
    <s v="ORD200034"/>
    <x v="6"/>
    <x v="1"/>
    <n v="2"/>
    <n v="37.5"/>
    <x v="3"/>
    <n v="75"/>
    <d v="2024-07-03T20:34:59"/>
    <x v="4"/>
    <s v="8e3c4716-c047-4584-9cad-d7ed85d6df04"/>
  </r>
  <r>
    <s v="ORD200035"/>
    <x v="2"/>
    <x v="1"/>
    <n v="4"/>
    <n v="24.26"/>
    <x v="11"/>
    <n v="97.04"/>
    <d v="2024-12-12T20:34:59"/>
    <x v="3"/>
    <s v="813a0baf-3156-4283-b949-adae481cc658"/>
  </r>
  <r>
    <s v="ORD200036"/>
    <x v="6"/>
    <x v="1"/>
    <n v="5"/>
    <n v="55.83"/>
    <x v="1"/>
    <n v="279.14999999999998"/>
    <d v="2024-05-27T20:34:59"/>
    <x v="0"/>
    <s v="0cdd99c8-efa2-4668-b152-bac7979ac4ac"/>
  </r>
  <r>
    <s v="ORD200037"/>
    <x v="0"/>
    <x v="0"/>
    <n v="4"/>
    <n v="46.45"/>
    <x v="0"/>
    <n v="185.8"/>
    <d v="2024-09-14T20:34:59"/>
    <x v="1"/>
    <s v="80dae54b-1982-45d9-8d18-e178cef54f4a"/>
  </r>
  <r>
    <s v="ORD200038"/>
    <x v="9"/>
    <x v="2"/>
    <n v="4"/>
    <n v="23.6"/>
    <x v="3"/>
    <n v="94.4"/>
    <d v="2024-07-15T20:34:59"/>
    <x v="1"/>
    <s v="84d9f8b3-5629-4af2-89ef-52f59f044af3"/>
  </r>
  <r>
    <s v="ORD200039"/>
    <x v="9"/>
    <x v="2"/>
    <n v="4"/>
    <n v="18.61"/>
    <x v="11"/>
    <n v="74.44"/>
    <d v="2024-12-15T20:34:59"/>
    <x v="1"/>
    <s v="06c0f2a3-fe42-4755-b600-16d569d89b0a"/>
  </r>
  <r>
    <s v="ORD200040"/>
    <x v="4"/>
    <x v="0"/>
    <n v="4"/>
    <n v="44.93"/>
    <x v="7"/>
    <n v="179.72"/>
    <d v="2024-10-03T20:34:59"/>
    <x v="2"/>
    <s v="cba40cda-305e-4656-8b20-c539c0dd9834"/>
  </r>
  <r>
    <s v="ORD200041"/>
    <x v="6"/>
    <x v="1"/>
    <n v="1"/>
    <n v="20.85"/>
    <x v="2"/>
    <n v="20.85"/>
    <d v="2025-01-28T20:34:59"/>
    <x v="2"/>
    <s v="adf8f75c-4449-47be-8097-24d1f10eedeb"/>
  </r>
  <r>
    <s v="ORD200042"/>
    <x v="11"/>
    <x v="1"/>
    <n v="3"/>
    <n v="27.34"/>
    <x v="0"/>
    <n v="82.02"/>
    <d v="2024-09-01T20:34:59"/>
    <x v="1"/>
    <s v="ff67966d-beee-4116-b39a-b456bd5f3fdc"/>
  </r>
  <r>
    <s v="ORD200043"/>
    <x v="11"/>
    <x v="1"/>
    <n v="3"/>
    <n v="38.14"/>
    <x v="0"/>
    <n v="114.42"/>
    <d v="2024-09-11T20:34:59"/>
    <x v="4"/>
    <s v="952a2c57-1120-450c-bfcb-a6210f4f998a"/>
  </r>
  <r>
    <s v="ORD200044"/>
    <x v="4"/>
    <x v="0"/>
    <n v="5"/>
    <n v="13.33"/>
    <x v="4"/>
    <n v="66.650000000000006"/>
    <d v="2024-11-17T20:34:59"/>
    <x v="3"/>
    <s v="5c52cf24-4663-4874-85c4-6e421fafaa86"/>
  </r>
  <r>
    <s v="ORD200045"/>
    <x v="5"/>
    <x v="2"/>
    <n v="3"/>
    <n v="13.83"/>
    <x v="6"/>
    <n v="41.49"/>
    <d v="2025-03-26T20:34:59"/>
    <x v="4"/>
    <s v="0926933a-bda3-454a-aebf-1297556efbfc"/>
  </r>
  <r>
    <s v="ORD200046"/>
    <x v="11"/>
    <x v="1"/>
    <n v="3"/>
    <n v="52.37"/>
    <x v="10"/>
    <n v="157.10999999999999"/>
    <d v="2024-04-28T20:34:59"/>
    <x v="4"/>
    <s v="c9908c4e-7ef9-4965-9f1b-ea4cdda43ebb"/>
  </r>
  <r>
    <s v="ORD200047"/>
    <x v="5"/>
    <x v="2"/>
    <n v="3"/>
    <n v="37.1"/>
    <x v="6"/>
    <n v="111.30000000000001"/>
    <d v="2025-03-05T20:34:59"/>
    <x v="1"/>
    <s v="a197ec56-dfba-442d-bded-013d350c7bc9"/>
  </r>
  <r>
    <s v="ORD200048"/>
    <x v="9"/>
    <x v="2"/>
    <n v="5"/>
    <n v="58.74"/>
    <x v="0"/>
    <n v="293.7"/>
    <d v="2024-09-15T20:34:59"/>
    <x v="2"/>
    <s v="ad1703cb-64ea-4a1c-81d5-7be3bb0a96a2"/>
  </r>
  <r>
    <s v="ORD200049"/>
    <x v="8"/>
    <x v="0"/>
    <n v="3"/>
    <n v="55.5"/>
    <x v="11"/>
    <n v="166.5"/>
    <d v="2024-12-30T20:34:59"/>
    <x v="0"/>
    <s v="83036fc2-c009-43c8-b52f-532fcea9784a"/>
  </r>
  <r>
    <s v="ORD200050"/>
    <x v="1"/>
    <x v="1"/>
    <n v="1"/>
    <n v="24.08"/>
    <x v="10"/>
    <n v="24.08"/>
    <d v="2024-04-25T20:34:59"/>
    <x v="0"/>
    <s v="da4b0e94-a41e-4056-a321-a50919679aeb"/>
  </r>
  <r>
    <s v="ORD200051"/>
    <x v="6"/>
    <x v="1"/>
    <n v="1"/>
    <n v="33.020000000000003"/>
    <x v="4"/>
    <n v="33.020000000000003"/>
    <d v="2024-11-25T20:34:59"/>
    <x v="4"/>
    <s v="6dce55a8-aec1-4089-b3cc-74c1dbca17a1"/>
  </r>
  <r>
    <s v="ORD200052"/>
    <x v="3"/>
    <x v="2"/>
    <n v="2"/>
    <n v="29.63"/>
    <x v="0"/>
    <n v="59.26"/>
    <d v="2024-09-07T20:34:59"/>
    <x v="4"/>
    <s v="2f7993cb-fd71-47bc-be24-e679dc5e41a5"/>
  </r>
  <r>
    <s v="ORD200053"/>
    <x v="8"/>
    <x v="0"/>
    <n v="3"/>
    <n v="19.739999999999998"/>
    <x v="4"/>
    <n v="59.22"/>
    <d v="2024-11-26T20:34:59"/>
    <x v="4"/>
    <s v="a46fb8e7-dfee-411f-bf85-00c31d1b932c"/>
  </r>
  <r>
    <s v="ORD200054"/>
    <x v="4"/>
    <x v="0"/>
    <n v="2"/>
    <n v="55.9"/>
    <x v="4"/>
    <n v="111.8"/>
    <d v="2024-11-04T20:34:59"/>
    <x v="4"/>
    <s v="ac8e613f-fa6c-45eb-a90d-b661692eccc0"/>
  </r>
  <r>
    <s v="ORD200055"/>
    <x v="7"/>
    <x v="1"/>
    <n v="4"/>
    <n v="15.45"/>
    <x v="8"/>
    <n v="61.8"/>
    <d v="2024-06-06T20:34:59"/>
    <x v="2"/>
    <s v="40a66c4c-df4b-456e-a909-9867aeff133c"/>
  </r>
  <r>
    <s v="ORD200056"/>
    <x v="3"/>
    <x v="2"/>
    <n v="5"/>
    <n v="57.98"/>
    <x v="2"/>
    <n v="289.89999999999998"/>
    <d v="2025-01-10T20:34:59"/>
    <x v="1"/>
    <s v="85029b2f-4662-43e3-970a-3b5aeb5d5bac"/>
  </r>
  <r>
    <s v="ORD200057"/>
    <x v="10"/>
    <x v="0"/>
    <n v="2"/>
    <n v="45.56"/>
    <x v="9"/>
    <n v="91.12"/>
    <d v="2024-08-31T20:34:59"/>
    <x v="4"/>
    <s v="ce82abac-4e8c-4557-8fd3-985d8f4e2746"/>
  </r>
  <r>
    <s v="ORD200058"/>
    <x v="4"/>
    <x v="0"/>
    <n v="3"/>
    <n v="43.21"/>
    <x v="3"/>
    <n v="129.63"/>
    <d v="2024-07-09T20:34:59"/>
    <x v="2"/>
    <s v="974e2448-e799-4483-9b1c-47d6d6d6e547"/>
  </r>
  <r>
    <s v="ORD200059"/>
    <x v="5"/>
    <x v="2"/>
    <n v="4"/>
    <n v="37.979999999999997"/>
    <x v="2"/>
    <n v="151.91999999999999"/>
    <d v="2025-01-12T20:34:59"/>
    <x v="0"/>
    <s v="775e40f4-1fcf-4a30-8370-5f27a900d0b7"/>
  </r>
  <r>
    <s v="ORD200060"/>
    <x v="11"/>
    <x v="1"/>
    <n v="2"/>
    <n v="32.99"/>
    <x v="9"/>
    <n v="65.98"/>
    <d v="2024-08-02T20:34:59"/>
    <x v="4"/>
    <s v="3adcefc3-1bd9-4313-9eb8-2939030560f0"/>
  </r>
  <r>
    <s v="ORD200061"/>
    <x v="5"/>
    <x v="2"/>
    <n v="2"/>
    <n v="49.23"/>
    <x v="3"/>
    <n v="98.46"/>
    <d v="2024-07-27T20:34:59"/>
    <x v="2"/>
    <s v="fe68616e-ea6b-44de-b042-b4a79e6d2164"/>
  </r>
  <r>
    <s v="ORD200062"/>
    <x v="6"/>
    <x v="1"/>
    <n v="3"/>
    <n v="20.97"/>
    <x v="2"/>
    <n v="62.91"/>
    <d v="2025-01-23T20:34:59"/>
    <x v="2"/>
    <s v="9ac5a6e6-91f3-4d00-a101-72a7d668a4ce"/>
  </r>
  <r>
    <s v="ORD200063"/>
    <x v="7"/>
    <x v="1"/>
    <n v="1"/>
    <n v="19.12"/>
    <x v="3"/>
    <n v="19.12"/>
    <d v="2024-07-25T20:34:59"/>
    <x v="1"/>
    <s v="11f28616-7092-4ebe-9076-904cea4f0072"/>
  </r>
  <r>
    <s v="ORD200064"/>
    <x v="9"/>
    <x v="2"/>
    <n v="1"/>
    <n v="39.840000000000003"/>
    <x v="9"/>
    <n v="39.840000000000003"/>
    <d v="2024-08-17T20:34:59"/>
    <x v="4"/>
    <s v="17ee8a59-5ad1-4713-8110-b255352c1917"/>
  </r>
  <r>
    <s v="ORD200065"/>
    <x v="3"/>
    <x v="2"/>
    <n v="5"/>
    <n v="11.83"/>
    <x v="7"/>
    <n v="59.15"/>
    <d v="2024-10-18T20:34:59"/>
    <x v="1"/>
    <s v="7c2f4edc-5642-4fe3-a18d-2983bc9cadbc"/>
  </r>
  <r>
    <s v="ORD200066"/>
    <x v="11"/>
    <x v="1"/>
    <n v="1"/>
    <n v="50.18"/>
    <x v="5"/>
    <n v="50.18"/>
    <d v="2025-02-02T20:34:59"/>
    <x v="0"/>
    <s v="bb48f5ca-df69-4f16-99ac-f19f988d05cb"/>
  </r>
  <r>
    <s v="ORD200067"/>
    <x v="7"/>
    <x v="1"/>
    <n v="1"/>
    <n v="17.59"/>
    <x v="10"/>
    <n v="17.59"/>
    <d v="2024-04-11T20:34:59"/>
    <x v="1"/>
    <s v="4b022e99-907c-4bca-88a9-37ee9a5f6d96"/>
  </r>
  <r>
    <s v="ORD200068"/>
    <x v="5"/>
    <x v="2"/>
    <n v="3"/>
    <n v="16.29"/>
    <x v="11"/>
    <n v="48.87"/>
    <d v="2024-12-27T20:34:59"/>
    <x v="0"/>
    <s v="db1bcddd-c53a-47f1-b2f5-0514a5f45407"/>
  </r>
  <r>
    <s v="ORD200069"/>
    <x v="5"/>
    <x v="2"/>
    <n v="2"/>
    <n v="19.850000000000001"/>
    <x v="2"/>
    <n v="39.700000000000003"/>
    <d v="2025-01-13T20:34:59"/>
    <x v="3"/>
    <s v="71000ce8-1467-41ac-bcb4-f86c3c3d2736"/>
  </r>
  <r>
    <s v="ORD200070"/>
    <x v="9"/>
    <x v="2"/>
    <n v="2"/>
    <n v="18.21"/>
    <x v="7"/>
    <n v="36.42"/>
    <d v="2024-10-17T20:34:59"/>
    <x v="1"/>
    <s v="bf222594-2832-40b8-ab32-f71d4e77d945"/>
  </r>
  <r>
    <s v="ORD200071"/>
    <x v="6"/>
    <x v="1"/>
    <n v="4"/>
    <n v="33.86"/>
    <x v="9"/>
    <n v="135.44"/>
    <d v="2024-08-20T20:34:59"/>
    <x v="2"/>
    <s v="ea781040-800b-4415-82ca-831785c80754"/>
  </r>
  <r>
    <s v="ORD200072"/>
    <x v="9"/>
    <x v="2"/>
    <n v="1"/>
    <n v="19.760000000000002"/>
    <x v="6"/>
    <n v="19.760000000000002"/>
    <d v="2025-03-19T20:34:59"/>
    <x v="4"/>
    <s v="e5d1170c-2a5a-4879-9879-ddb37bced9fe"/>
  </r>
  <r>
    <s v="ORD200073"/>
    <x v="2"/>
    <x v="1"/>
    <n v="2"/>
    <n v="26.87"/>
    <x v="4"/>
    <n v="53.74"/>
    <d v="2024-11-06T20:34:59"/>
    <x v="0"/>
    <s v="db448a81-d7bf-470b-a5d2-d474057d1258"/>
  </r>
  <r>
    <s v="ORD200074"/>
    <x v="8"/>
    <x v="0"/>
    <n v="5"/>
    <n v="42.11"/>
    <x v="7"/>
    <n v="210.55"/>
    <d v="2024-10-30T20:34:59"/>
    <x v="4"/>
    <s v="444abaa1-d6c7-47ee-9474-7c5a8ce7d5fd"/>
  </r>
  <r>
    <s v="ORD200075"/>
    <x v="7"/>
    <x v="1"/>
    <n v="1"/>
    <n v="11.12"/>
    <x v="5"/>
    <n v="11.12"/>
    <d v="2025-02-18T20:34:59"/>
    <x v="1"/>
    <s v="d61df108-712a-4c57-9872-124cf3677618"/>
  </r>
  <r>
    <s v="ORD200076"/>
    <x v="3"/>
    <x v="2"/>
    <n v="3"/>
    <n v="18.27"/>
    <x v="8"/>
    <n v="54.81"/>
    <d v="2024-06-22T20:34:59"/>
    <x v="4"/>
    <s v="f78981e8-5c1b-4279-adec-7be770940879"/>
  </r>
  <r>
    <s v="ORD200077"/>
    <x v="5"/>
    <x v="2"/>
    <n v="4"/>
    <n v="11.75"/>
    <x v="6"/>
    <n v="47"/>
    <d v="2025-03-07T20:34:59"/>
    <x v="1"/>
    <s v="5df4f6af-e28d-4bc9-bac1-282c6046933b"/>
  </r>
  <r>
    <s v="ORD200078"/>
    <x v="6"/>
    <x v="1"/>
    <n v="4"/>
    <n v="26.98"/>
    <x v="6"/>
    <n v="107.92"/>
    <d v="2025-03-03T20:34:59"/>
    <x v="3"/>
    <s v="c8d3c268-a35c-482c-b082-e845a5ac4e22"/>
  </r>
  <r>
    <s v="ORD200079"/>
    <x v="9"/>
    <x v="2"/>
    <n v="2"/>
    <n v="52.91"/>
    <x v="10"/>
    <n v="105.82"/>
    <d v="2024-04-08T20:34:59"/>
    <x v="3"/>
    <s v="6741a7e9-8434-4df7-90dd-1a9292b2d968"/>
  </r>
  <r>
    <s v="ORD200080"/>
    <x v="5"/>
    <x v="2"/>
    <n v="4"/>
    <n v="41.87"/>
    <x v="0"/>
    <n v="167.48"/>
    <d v="2024-09-04T20:34:59"/>
    <x v="0"/>
    <s v="2d2452b0-5877-45a1-ae26-1fda7619570a"/>
  </r>
  <r>
    <s v="ORD200081"/>
    <x v="1"/>
    <x v="1"/>
    <n v="3"/>
    <n v="50.27"/>
    <x v="8"/>
    <n v="150.81"/>
    <d v="2024-06-17T20:34:59"/>
    <x v="4"/>
    <s v="225c8f1c-46e4-43a3-8489-0a674612efb6"/>
  </r>
  <r>
    <s v="ORD200082"/>
    <x v="8"/>
    <x v="0"/>
    <n v="3"/>
    <n v="12.05"/>
    <x v="6"/>
    <n v="36.150000000000006"/>
    <d v="2025-03-21T20:34:59"/>
    <x v="2"/>
    <s v="aa2dd0d8-9c1d-4f84-b1e8-0d4f92421736"/>
  </r>
  <r>
    <s v="ORD200083"/>
    <x v="4"/>
    <x v="0"/>
    <n v="4"/>
    <n v="51.59"/>
    <x v="4"/>
    <n v="206.36"/>
    <d v="2024-11-30T20:34:59"/>
    <x v="0"/>
    <s v="f90a8142-2817-483d-9afd-882e1417ea7d"/>
  </r>
  <r>
    <s v="ORD200084"/>
    <x v="2"/>
    <x v="1"/>
    <n v="1"/>
    <n v="46.43"/>
    <x v="2"/>
    <n v="46.43"/>
    <d v="2025-01-31T20:34:59"/>
    <x v="1"/>
    <s v="0825f511-b6c9-4aa2-ad71-ed4d58b11fe0"/>
  </r>
  <r>
    <s v="ORD200085"/>
    <x v="9"/>
    <x v="2"/>
    <n v="2"/>
    <n v="46.04"/>
    <x v="8"/>
    <n v="92.08"/>
    <d v="2024-06-20T20:34:59"/>
    <x v="3"/>
    <s v="66706cce-31d0-46ee-bccb-4972a189c0a7"/>
  </r>
  <r>
    <s v="ORD200086"/>
    <x v="1"/>
    <x v="1"/>
    <n v="5"/>
    <n v="48.32"/>
    <x v="0"/>
    <n v="241.6"/>
    <d v="2024-09-22T20:34:59"/>
    <x v="4"/>
    <s v="aacb88ec-0923-4273-9dee-38a2e8f2afda"/>
  </r>
  <r>
    <s v="ORD200087"/>
    <x v="9"/>
    <x v="2"/>
    <n v="4"/>
    <n v="41.04"/>
    <x v="11"/>
    <n v="164.16"/>
    <d v="2024-12-06T20:34:59"/>
    <x v="4"/>
    <s v="b6f2f902-1924-4fb9-a96f-ebb039a67abe"/>
  </r>
  <r>
    <s v="ORD200088"/>
    <x v="0"/>
    <x v="0"/>
    <n v="4"/>
    <n v="33.130000000000003"/>
    <x v="8"/>
    <n v="132.52000000000001"/>
    <d v="2024-06-04T20:34:59"/>
    <x v="3"/>
    <s v="563c2f7f-c93f-4457-b867-bf66ce253517"/>
  </r>
  <r>
    <s v="ORD200089"/>
    <x v="2"/>
    <x v="1"/>
    <n v="5"/>
    <n v="35.450000000000003"/>
    <x v="9"/>
    <n v="177.25"/>
    <d v="2024-08-29T20:34:59"/>
    <x v="3"/>
    <s v="17ed2325-611a-4f46-9ae6-255b7685c4a9"/>
  </r>
  <r>
    <s v="ORD200090"/>
    <x v="5"/>
    <x v="2"/>
    <n v="4"/>
    <n v="43.06"/>
    <x v="3"/>
    <n v="172.24"/>
    <d v="2024-07-15T20:34:59"/>
    <x v="2"/>
    <s v="a602233a-d7e8-45c7-af96-d94cdf7fdf5b"/>
  </r>
  <r>
    <s v="ORD200091"/>
    <x v="2"/>
    <x v="1"/>
    <n v="5"/>
    <n v="28.41"/>
    <x v="5"/>
    <n v="142.05000000000001"/>
    <d v="2025-02-25T20:34:59"/>
    <x v="4"/>
    <s v="5d3ec637-097f-4916-9567-4f99111c4964"/>
  </r>
  <r>
    <s v="ORD200092"/>
    <x v="1"/>
    <x v="1"/>
    <n v="2"/>
    <n v="30.54"/>
    <x v="4"/>
    <n v="61.08"/>
    <d v="2024-11-04T20:34:59"/>
    <x v="3"/>
    <s v="89dfce47-7487-4463-ac14-c3a8347ba8cd"/>
  </r>
  <r>
    <s v="ORD200093"/>
    <x v="5"/>
    <x v="2"/>
    <n v="3"/>
    <n v="15.65"/>
    <x v="4"/>
    <n v="46.95"/>
    <d v="2024-11-22T20:34:59"/>
    <x v="0"/>
    <s v="1fbb73e0-e334-4f7a-9703-b925c3ac215e"/>
  </r>
  <r>
    <s v="ORD200094"/>
    <x v="1"/>
    <x v="1"/>
    <n v="2"/>
    <n v="11.41"/>
    <x v="11"/>
    <n v="22.82"/>
    <d v="2024-12-17T20:34:59"/>
    <x v="1"/>
    <s v="ca25fbbf-4961-42d8-bf30-b09dedacb90a"/>
  </r>
  <r>
    <s v="ORD200095"/>
    <x v="4"/>
    <x v="0"/>
    <n v="3"/>
    <n v="53.17"/>
    <x v="3"/>
    <n v="159.51"/>
    <d v="2024-07-14T20:34:59"/>
    <x v="4"/>
    <s v="b9227ea8-a35e-42a8-ac58-5360d88c5253"/>
  </r>
  <r>
    <s v="ORD200096"/>
    <x v="8"/>
    <x v="0"/>
    <n v="1"/>
    <n v="26.23"/>
    <x v="11"/>
    <n v="26.23"/>
    <d v="2024-12-29T20:34:59"/>
    <x v="0"/>
    <s v="be5216be-f8d4-462a-9231-5c1e346b0168"/>
  </r>
  <r>
    <s v="ORD200097"/>
    <x v="10"/>
    <x v="0"/>
    <n v="3"/>
    <n v="18.21"/>
    <x v="9"/>
    <n v="54.63"/>
    <d v="2024-08-09T20:34:59"/>
    <x v="2"/>
    <s v="fc7a025f-24f2-4dfb-981e-4685c66f2df8"/>
  </r>
  <r>
    <s v="ORD200098"/>
    <x v="8"/>
    <x v="0"/>
    <n v="5"/>
    <n v="52.05"/>
    <x v="6"/>
    <n v="260.25"/>
    <d v="2025-03-07T20:34:59"/>
    <x v="3"/>
    <s v="0ebf1172-331b-4e99-8746-e5b7f2752de1"/>
  </r>
  <r>
    <s v="ORD200099"/>
    <x v="9"/>
    <x v="2"/>
    <n v="1"/>
    <n v="29.23"/>
    <x v="9"/>
    <n v="29.23"/>
    <d v="2024-08-29T20:34:59"/>
    <x v="3"/>
    <s v="0dccbf8c-602e-4f0a-a922-d877dba798b0"/>
  </r>
  <r>
    <s v="ORD200100"/>
    <x v="10"/>
    <x v="0"/>
    <n v="5"/>
    <n v="29.45"/>
    <x v="7"/>
    <n v="147.25"/>
    <d v="2024-10-31T20:34:59"/>
    <x v="3"/>
    <s v="c194005b-321c-4a0d-9a19-eda13e95244f"/>
  </r>
  <r>
    <s v="ORD200101"/>
    <x v="9"/>
    <x v="2"/>
    <n v="1"/>
    <n v="26.46"/>
    <x v="11"/>
    <n v="26.46"/>
    <d v="2024-12-10T20:34:59"/>
    <x v="2"/>
    <s v="23d0acb8-f6a9-4067-ab6c-5093232133eb"/>
  </r>
  <r>
    <s v="ORD200102"/>
    <x v="8"/>
    <x v="0"/>
    <n v="3"/>
    <n v="16.52"/>
    <x v="2"/>
    <n v="49.56"/>
    <d v="2025-01-07T20:34:59"/>
    <x v="3"/>
    <s v="8bb571b5-e624-4ab8-af16-97b640a31a33"/>
  </r>
  <r>
    <s v="ORD200103"/>
    <x v="2"/>
    <x v="1"/>
    <n v="5"/>
    <n v="12.07"/>
    <x v="0"/>
    <n v="60.35"/>
    <d v="2024-09-21T20:34:59"/>
    <x v="2"/>
    <s v="46ed4a27-623f-432d-b68a-fc60e3890914"/>
  </r>
  <r>
    <s v="ORD200104"/>
    <x v="10"/>
    <x v="0"/>
    <n v="3"/>
    <n v="51.54"/>
    <x v="2"/>
    <n v="154.62"/>
    <d v="2025-01-19T20:34:59"/>
    <x v="1"/>
    <s v="c3c41ed2-5c0c-4b03-87ab-d2e7bda3a21f"/>
  </r>
  <r>
    <s v="ORD200105"/>
    <x v="9"/>
    <x v="2"/>
    <n v="1"/>
    <n v="17.36"/>
    <x v="3"/>
    <n v="17.36"/>
    <d v="2024-07-03T20:34:59"/>
    <x v="3"/>
    <s v="07ce62e0-46b8-4b92-9237-b2916f2f45b5"/>
  </r>
  <r>
    <s v="ORD200106"/>
    <x v="3"/>
    <x v="2"/>
    <n v="3"/>
    <n v="36.81"/>
    <x v="4"/>
    <n v="110.43"/>
    <d v="2024-11-06T20:34:59"/>
    <x v="4"/>
    <s v="9a95cedb-f186-4f3c-8e97-a399e8d8bb47"/>
  </r>
  <r>
    <s v="ORD200107"/>
    <x v="1"/>
    <x v="1"/>
    <n v="2"/>
    <n v="12.15"/>
    <x v="0"/>
    <n v="24.3"/>
    <d v="2024-09-03T20:34:59"/>
    <x v="2"/>
    <s v="b569fa26-6bae-4d37-8153-60ec1f57351c"/>
  </r>
  <r>
    <s v="ORD200108"/>
    <x v="3"/>
    <x v="2"/>
    <n v="1"/>
    <n v="15.57"/>
    <x v="0"/>
    <n v="15.57"/>
    <d v="2024-09-11T20:34:59"/>
    <x v="3"/>
    <s v="9613306a-fb22-4c6a-abf4-07d92156dd79"/>
  </r>
  <r>
    <s v="ORD200109"/>
    <x v="3"/>
    <x v="2"/>
    <n v="3"/>
    <n v="15.97"/>
    <x v="4"/>
    <n v="47.910000000000004"/>
    <d v="2024-11-09T20:34:59"/>
    <x v="0"/>
    <s v="b5a9d932-7ff8-4f23-9a9e-dcf4ac87d34e"/>
  </r>
  <r>
    <s v="ORD200110"/>
    <x v="3"/>
    <x v="2"/>
    <n v="5"/>
    <n v="17.39"/>
    <x v="4"/>
    <n v="86.95"/>
    <d v="2024-11-11T20:34:59"/>
    <x v="0"/>
    <s v="b32b09ad-930e-4786-a882-f2de7770d18e"/>
  </r>
  <r>
    <s v="ORD200111"/>
    <x v="0"/>
    <x v="0"/>
    <n v="2"/>
    <n v="39.630000000000003"/>
    <x v="2"/>
    <n v="79.260000000000005"/>
    <d v="2025-01-27T20:34:59"/>
    <x v="4"/>
    <s v="f7667d96-b92b-4085-9cfd-64afe3cc37e8"/>
  </r>
  <r>
    <s v="ORD200112"/>
    <x v="10"/>
    <x v="0"/>
    <n v="4"/>
    <n v="43.28"/>
    <x v="4"/>
    <n v="173.12"/>
    <d v="2024-11-30T20:34:59"/>
    <x v="4"/>
    <s v="4a333398-3f05-49ab-b3b8-91ff28da159a"/>
  </r>
  <r>
    <s v="ORD200113"/>
    <x v="4"/>
    <x v="0"/>
    <n v="2"/>
    <n v="23.02"/>
    <x v="5"/>
    <n v="46.04"/>
    <d v="2025-02-21T20:34:59"/>
    <x v="1"/>
    <s v="bfe6db05-9969-4f26-9c3f-ead1eaf78855"/>
  </r>
  <r>
    <s v="ORD200114"/>
    <x v="1"/>
    <x v="1"/>
    <n v="4"/>
    <n v="38.61"/>
    <x v="3"/>
    <n v="154.44"/>
    <d v="2024-07-18T20:34:59"/>
    <x v="0"/>
    <s v="11dabdc9-8dbe-4567-84ad-c3242747a660"/>
  </r>
  <r>
    <s v="ORD200115"/>
    <x v="3"/>
    <x v="2"/>
    <n v="4"/>
    <n v="29.43"/>
    <x v="3"/>
    <n v="117.72"/>
    <d v="2024-07-20T20:34:59"/>
    <x v="1"/>
    <s v="a85dd67e-dd62-469d-a792-9460680f7f49"/>
  </r>
  <r>
    <s v="ORD200116"/>
    <x v="0"/>
    <x v="0"/>
    <n v="1"/>
    <n v="35.270000000000003"/>
    <x v="10"/>
    <n v="35.270000000000003"/>
    <d v="2024-04-29T20:34:59"/>
    <x v="2"/>
    <s v="0c2c8e4c-1b3a-4b77-b85f-efcdd34f219a"/>
  </r>
  <r>
    <s v="ORD200117"/>
    <x v="6"/>
    <x v="1"/>
    <n v="2"/>
    <n v="56.43"/>
    <x v="6"/>
    <n v="112.86"/>
    <d v="2025-03-04T20:34:59"/>
    <x v="3"/>
    <s v="852bf0c1-7a71-43c9-b40d-c85c8b918ad6"/>
  </r>
  <r>
    <s v="ORD200118"/>
    <x v="8"/>
    <x v="0"/>
    <n v="2"/>
    <n v="51.96"/>
    <x v="2"/>
    <n v="103.92"/>
    <d v="2025-01-28T20:34:59"/>
    <x v="1"/>
    <s v="5c42e384-cb68-4215-974d-f5cb0c75d409"/>
  </r>
  <r>
    <s v="ORD200119"/>
    <x v="2"/>
    <x v="1"/>
    <n v="5"/>
    <n v="10.43"/>
    <x v="8"/>
    <n v="52.15"/>
    <d v="2024-06-12T20:34:59"/>
    <x v="2"/>
    <s v="0d36faa9-daa8-4cba-bffa-894c1b031332"/>
  </r>
  <r>
    <s v="ORD200120"/>
    <x v="7"/>
    <x v="1"/>
    <n v="2"/>
    <n v="15.1"/>
    <x v="9"/>
    <n v="30.2"/>
    <d v="2024-08-26T20:34:59"/>
    <x v="3"/>
    <s v="24fe20ac-47c8-443c-bfeb-9fb041b290a8"/>
  </r>
  <r>
    <s v="ORD200121"/>
    <x v="6"/>
    <x v="1"/>
    <n v="2"/>
    <n v="42.74"/>
    <x v="0"/>
    <n v="85.48"/>
    <d v="2024-09-25T20:34:59"/>
    <x v="4"/>
    <s v="530a6330-de0e-4da2-aa3a-bec99401de9e"/>
  </r>
  <r>
    <s v="ORD200122"/>
    <x v="9"/>
    <x v="2"/>
    <n v="2"/>
    <n v="32.4"/>
    <x v="10"/>
    <n v="64.8"/>
    <d v="2024-04-22T20:34:59"/>
    <x v="1"/>
    <s v="fa072e13-ab30-4aad-bb38-27340e0e5378"/>
  </r>
  <r>
    <s v="ORD200123"/>
    <x v="7"/>
    <x v="1"/>
    <n v="2"/>
    <n v="14.67"/>
    <x v="5"/>
    <n v="29.34"/>
    <d v="2025-02-23T20:34:59"/>
    <x v="4"/>
    <s v="2e3a85ae-37f8-4f78-a8b0-862d684fbec5"/>
  </r>
  <r>
    <s v="ORD200124"/>
    <x v="6"/>
    <x v="1"/>
    <n v="3"/>
    <n v="59.1"/>
    <x v="0"/>
    <n v="177.3"/>
    <d v="2024-09-12T20:34:59"/>
    <x v="3"/>
    <s v="cdfc87e7-8f73-4ae8-8d07-c6a7167bed76"/>
  </r>
  <r>
    <s v="ORD200125"/>
    <x v="9"/>
    <x v="2"/>
    <n v="3"/>
    <n v="42.09"/>
    <x v="0"/>
    <n v="126.27000000000001"/>
    <d v="2024-09-02T20:34:59"/>
    <x v="4"/>
    <s v="ab7b7750-f276-4f24-801a-64e79953a8a4"/>
  </r>
  <r>
    <s v="ORD200126"/>
    <x v="9"/>
    <x v="2"/>
    <n v="4"/>
    <n v="46.89"/>
    <x v="8"/>
    <n v="187.56"/>
    <d v="2024-06-30T20:34:59"/>
    <x v="3"/>
    <s v="5fa46945-6b76-41f4-b791-f35a31642a33"/>
  </r>
  <r>
    <s v="ORD200127"/>
    <x v="8"/>
    <x v="0"/>
    <n v="3"/>
    <n v="50.89"/>
    <x v="2"/>
    <n v="152.67000000000002"/>
    <d v="2025-01-28T20:34:59"/>
    <x v="3"/>
    <s v="b20a6a20-a7c1-4771-a705-dbf59b2c13e4"/>
  </r>
  <r>
    <s v="ORD200128"/>
    <x v="8"/>
    <x v="0"/>
    <n v="2"/>
    <n v="52.86"/>
    <x v="0"/>
    <n v="105.72"/>
    <d v="2024-09-21T20:34:59"/>
    <x v="4"/>
    <s v="b11ae937-3838-433e-814e-47a21598ec1b"/>
  </r>
  <r>
    <s v="ORD200129"/>
    <x v="10"/>
    <x v="0"/>
    <n v="3"/>
    <n v="45.95"/>
    <x v="0"/>
    <n v="137.85000000000002"/>
    <d v="2024-09-17T20:34:59"/>
    <x v="3"/>
    <s v="f4ce6301-b541-4e58-8519-f4408633f2cd"/>
  </r>
  <r>
    <s v="ORD200130"/>
    <x v="3"/>
    <x v="2"/>
    <n v="1"/>
    <n v="35.51"/>
    <x v="11"/>
    <n v="35.51"/>
    <d v="2024-12-07T20:34:59"/>
    <x v="1"/>
    <s v="1e5bfab7-94ff-4178-a7f9-5c47916401a2"/>
  </r>
  <r>
    <s v="ORD200131"/>
    <x v="3"/>
    <x v="2"/>
    <n v="2"/>
    <n v="58.54"/>
    <x v="4"/>
    <n v="117.08"/>
    <d v="2024-11-11T20:34:59"/>
    <x v="2"/>
    <s v="402406d4-59e3-4051-8d04-f0766bc60943"/>
  </r>
  <r>
    <s v="ORD200132"/>
    <x v="9"/>
    <x v="2"/>
    <n v="4"/>
    <n v="55.07"/>
    <x v="6"/>
    <n v="220.28"/>
    <d v="2025-03-23T20:34:59"/>
    <x v="0"/>
    <s v="77dcab15-abe2-45f7-b6e5-7c73478e0a4b"/>
  </r>
  <r>
    <s v="ORD200133"/>
    <x v="11"/>
    <x v="1"/>
    <n v="4"/>
    <n v="30.33"/>
    <x v="1"/>
    <n v="121.32"/>
    <d v="2024-05-05T20:34:59"/>
    <x v="1"/>
    <s v="9e012a14-86bf-4a86-a44e-72ef2c77f96f"/>
  </r>
  <r>
    <s v="ORD200134"/>
    <x v="1"/>
    <x v="1"/>
    <n v="1"/>
    <n v="57.71"/>
    <x v="8"/>
    <n v="57.71"/>
    <d v="2024-06-07T20:34:59"/>
    <x v="0"/>
    <s v="a1f22a9a-1f57-482b-bd4c-9018f706d342"/>
  </r>
  <r>
    <s v="ORD200135"/>
    <x v="3"/>
    <x v="2"/>
    <n v="4"/>
    <n v="10.95"/>
    <x v="5"/>
    <n v="43.8"/>
    <d v="2025-02-06T20:34:59"/>
    <x v="2"/>
    <s v="37fdc0df-7fff-4148-8e22-5019ffe91ae7"/>
  </r>
  <r>
    <s v="ORD200136"/>
    <x v="9"/>
    <x v="2"/>
    <n v="3"/>
    <n v="41.41"/>
    <x v="9"/>
    <n v="124.22999999999999"/>
    <d v="2024-08-28T20:34:59"/>
    <x v="0"/>
    <s v="26d7eb31-6c11-4378-8745-cae46aadebee"/>
  </r>
  <r>
    <s v="ORD200137"/>
    <x v="7"/>
    <x v="1"/>
    <n v="2"/>
    <n v="38.03"/>
    <x v="11"/>
    <n v="76.06"/>
    <d v="2024-12-19T20:34:59"/>
    <x v="2"/>
    <s v="ec2d0c57-2649-4938-969b-1d1a760b10b4"/>
  </r>
  <r>
    <s v="ORD200138"/>
    <x v="10"/>
    <x v="0"/>
    <n v="4"/>
    <n v="56.68"/>
    <x v="6"/>
    <n v="226.72"/>
    <d v="2025-03-21T20:34:59"/>
    <x v="1"/>
    <s v="784f6324-bd63-4b21-9c37-401ea806b49c"/>
  </r>
  <r>
    <s v="ORD200139"/>
    <x v="6"/>
    <x v="1"/>
    <n v="5"/>
    <n v="53.95"/>
    <x v="1"/>
    <n v="269.75"/>
    <d v="2024-05-26T20:34:59"/>
    <x v="4"/>
    <s v="2dcb93f6-66d8-4fb2-8c96-1432d0b4e228"/>
  </r>
  <r>
    <s v="ORD200140"/>
    <x v="1"/>
    <x v="1"/>
    <n v="2"/>
    <n v="28.32"/>
    <x v="6"/>
    <n v="56.64"/>
    <d v="2025-03-17T20:34:59"/>
    <x v="1"/>
    <s v="dfb99595-afd3-41ce-bae6-da09743d51f0"/>
  </r>
  <r>
    <s v="ORD200141"/>
    <x v="1"/>
    <x v="1"/>
    <n v="5"/>
    <n v="35.71"/>
    <x v="8"/>
    <n v="178.55"/>
    <d v="2024-06-28T20:34:59"/>
    <x v="3"/>
    <s v="af373d8c-d383-4756-ad92-4f27d86720b1"/>
  </r>
  <r>
    <s v="ORD200142"/>
    <x v="10"/>
    <x v="0"/>
    <n v="3"/>
    <n v="26.36"/>
    <x v="9"/>
    <n v="79.08"/>
    <d v="2024-08-15T20:34:59"/>
    <x v="3"/>
    <s v="75ffa1dc-e0e3-42a7-9dba-e04d92f53bbc"/>
  </r>
  <r>
    <s v="ORD200143"/>
    <x v="7"/>
    <x v="1"/>
    <n v="1"/>
    <n v="30.18"/>
    <x v="3"/>
    <n v="30.18"/>
    <d v="2024-07-27T20:34:59"/>
    <x v="0"/>
    <s v="f75d65d1-cc06-4279-9806-b5f6e833065a"/>
  </r>
  <r>
    <s v="ORD200144"/>
    <x v="10"/>
    <x v="0"/>
    <n v="4"/>
    <n v="17.95"/>
    <x v="6"/>
    <n v="71.8"/>
    <d v="2025-03-11T20:34:59"/>
    <x v="1"/>
    <s v="7b6c547a-de8f-4e4a-90d0-96d1134c7360"/>
  </r>
  <r>
    <s v="ORD200145"/>
    <x v="9"/>
    <x v="2"/>
    <n v="1"/>
    <n v="37.6"/>
    <x v="0"/>
    <n v="37.6"/>
    <d v="2024-09-01T20:34:59"/>
    <x v="3"/>
    <s v="b2914039-8f0d-4e07-b307-44e9c0f2706d"/>
  </r>
  <r>
    <s v="ORD200146"/>
    <x v="0"/>
    <x v="0"/>
    <n v="4"/>
    <n v="14.07"/>
    <x v="4"/>
    <n v="56.28"/>
    <d v="2024-11-01T20:34:59"/>
    <x v="0"/>
    <s v="a4cf4fe9-25a7-403d-bd38-04e4b47af516"/>
  </r>
  <r>
    <s v="ORD200147"/>
    <x v="7"/>
    <x v="1"/>
    <n v="2"/>
    <n v="59.83"/>
    <x v="10"/>
    <n v="119.66"/>
    <d v="2024-04-29T20:34:59"/>
    <x v="0"/>
    <s v="73d32633-0a8e-4bea-bf2c-29498809ca98"/>
  </r>
  <r>
    <s v="ORD200148"/>
    <x v="0"/>
    <x v="0"/>
    <n v="3"/>
    <n v="14.42"/>
    <x v="10"/>
    <n v="43.26"/>
    <d v="2024-04-05T20:34:59"/>
    <x v="3"/>
    <s v="36dfa7f4-b3bf-492f-adb7-09cf80798ffb"/>
  </r>
  <r>
    <s v="ORD200149"/>
    <x v="3"/>
    <x v="2"/>
    <n v="5"/>
    <n v="16.87"/>
    <x v="7"/>
    <n v="84.350000000000009"/>
    <d v="2024-10-19T20:34:59"/>
    <x v="3"/>
    <s v="f804d827-497c-40f6-9aa4-90d15242e8ef"/>
  </r>
  <r>
    <s v="ORD200150"/>
    <x v="2"/>
    <x v="1"/>
    <n v="5"/>
    <n v="50.39"/>
    <x v="5"/>
    <n v="251.95"/>
    <d v="2025-02-13T20:34:59"/>
    <x v="2"/>
    <s v="da781d09-2acb-4063-b02e-ab735e9d71a0"/>
  </r>
  <r>
    <s v="ORD200151"/>
    <x v="3"/>
    <x v="2"/>
    <n v="4"/>
    <n v="56.23"/>
    <x v="12"/>
    <n v="224.92"/>
    <d v="2025-04-03T20:34:59"/>
    <x v="4"/>
    <s v="ff09b3f7-9ecb-4e84-8f1e-74f8e9cbb735"/>
  </r>
  <r>
    <s v="ORD200152"/>
    <x v="7"/>
    <x v="1"/>
    <n v="5"/>
    <n v="38.97"/>
    <x v="11"/>
    <n v="194.85"/>
    <d v="2024-12-03T20:34:59"/>
    <x v="1"/>
    <s v="8b1fc890-de5f-41a6-851f-1abf367b8907"/>
  </r>
  <r>
    <s v="ORD200153"/>
    <x v="3"/>
    <x v="2"/>
    <n v="3"/>
    <n v="44.14"/>
    <x v="5"/>
    <n v="132.42000000000002"/>
    <d v="2025-02-02T20:34:59"/>
    <x v="2"/>
    <s v="4911b161-cad7-4cff-ab99-ca80debed87f"/>
  </r>
  <r>
    <s v="ORD200154"/>
    <x v="8"/>
    <x v="0"/>
    <n v="2"/>
    <n v="25.76"/>
    <x v="7"/>
    <n v="51.52"/>
    <d v="2024-10-09T20:34:59"/>
    <x v="2"/>
    <s v="dc0a518a-2170-4633-8ed4-1d5317621437"/>
  </r>
  <r>
    <s v="ORD200155"/>
    <x v="5"/>
    <x v="2"/>
    <n v="3"/>
    <n v="30.49"/>
    <x v="5"/>
    <n v="91.47"/>
    <d v="2025-02-27T20:34:59"/>
    <x v="2"/>
    <s v="957abef7-9507-411f-be61-1ac547cf0759"/>
  </r>
  <r>
    <s v="ORD200156"/>
    <x v="2"/>
    <x v="1"/>
    <n v="5"/>
    <n v="52.49"/>
    <x v="5"/>
    <n v="262.45"/>
    <d v="2025-02-08T20:34:59"/>
    <x v="0"/>
    <s v="549b7c6d-07bd-45cf-b627-56f155f42eeb"/>
  </r>
  <r>
    <s v="ORD200157"/>
    <x v="3"/>
    <x v="2"/>
    <n v="3"/>
    <n v="38.01"/>
    <x v="12"/>
    <n v="114.03"/>
    <d v="2025-04-01T20:34:59"/>
    <x v="1"/>
    <s v="5f62e4b1-8619-43a0-b8a3-94b6de7844ba"/>
  </r>
  <r>
    <s v="ORD200158"/>
    <x v="6"/>
    <x v="1"/>
    <n v="3"/>
    <n v="31.05"/>
    <x v="9"/>
    <n v="93.15"/>
    <d v="2024-08-23T20:34:59"/>
    <x v="2"/>
    <s v="c7b25590-c6de-4aa3-9dda-98770c683931"/>
  </r>
  <r>
    <s v="ORD200159"/>
    <x v="3"/>
    <x v="2"/>
    <n v="1"/>
    <n v="49.39"/>
    <x v="0"/>
    <n v="49.39"/>
    <d v="2024-09-29T20:34:59"/>
    <x v="1"/>
    <s v="d69badff-c4bd-468d-bfad-1fe99e547d4b"/>
  </r>
  <r>
    <s v="ORD200160"/>
    <x v="9"/>
    <x v="2"/>
    <n v="1"/>
    <n v="48"/>
    <x v="11"/>
    <n v="48"/>
    <d v="2024-12-19T20:34:59"/>
    <x v="3"/>
    <s v="e423604e-8ac5-4cc8-a1ed-d5848469392f"/>
  </r>
  <r>
    <s v="ORD200161"/>
    <x v="2"/>
    <x v="1"/>
    <n v="4"/>
    <n v="28.48"/>
    <x v="6"/>
    <n v="113.92"/>
    <d v="2025-03-08T20:34:59"/>
    <x v="0"/>
    <s v="bb89b7a3-4841-4632-bde1-fac2429d34e2"/>
  </r>
  <r>
    <s v="ORD200162"/>
    <x v="7"/>
    <x v="1"/>
    <n v="5"/>
    <n v="57.12"/>
    <x v="7"/>
    <n v="285.59999999999997"/>
    <d v="2024-10-21T20:34:59"/>
    <x v="3"/>
    <s v="4b36b831-1242-49f6-8c77-e4c7d2530cfc"/>
  </r>
  <r>
    <s v="ORD200163"/>
    <x v="3"/>
    <x v="2"/>
    <n v="1"/>
    <n v="10.35"/>
    <x v="7"/>
    <n v="10.35"/>
    <d v="2024-10-30T20:34:59"/>
    <x v="3"/>
    <s v="b1818bb5-2b36-4b72-86e5-1292bcb0f2b2"/>
  </r>
  <r>
    <s v="ORD200164"/>
    <x v="10"/>
    <x v="0"/>
    <n v="2"/>
    <n v="30.7"/>
    <x v="2"/>
    <n v="61.4"/>
    <d v="2025-01-29T20:34:59"/>
    <x v="3"/>
    <s v="7eff8b53-67d8-4c58-a5e4-2cd53c32a268"/>
  </r>
  <r>
    <s v="ORD200165"/>
    <x v="6"/>
    <x v="1"/>
    <n v="3"/>
    <n v="39.4"/>
    <x v="7"/>
    <n v="118.19999999999999"/>
    <d v="2024-10-14T20:34:59"/>
    <x v="4"/>
    <s v="b2f48dba-327b-4f17-8e13-1984402bf599"/>
  </r>
  <r>
    <s v="ORD200166"/>
    <x v="8"/>
    <x v="0"/>
    <n v="1"/>
    <n v="47.63"/>
    <x v="10"/>
    <n v="47.63"/>
    <d v="2024-04-11T20:34:59"/>
    <x v="3"/>
    <s v="cc0c23cf-cb8b-4be2-9778-06221f12b1a1"/>
  </r>
  <r>
    <s v="ORD200167"/>
    <x v="11"/>
    <x v="1"/>
    <n v="5"/>
    <n v="28.79"/>
    <x v="3"/>
    <n v="143.94999999999999"/>
    <d v="2024-07-28T20:34:59"/>
    <x v="1"/>
    <s v="ae40a732-f364-4021-bab5-0daa537a9da2"/>
  </r>
  <r>
    <s v="ORD200168"/>
    <x v="3"/>
    <x v="2"/>
    <n v="4"/>
    <n v="41.56"/>
    <x v="4"/>
    <n v="166.24"/>
    <d v="2024-11-24T20:34:59"/>
    <x v="3"/>
    <s v="9f186cf3-f91a-4dba-8c26-0deacab21392"/>
  </r>
  <r>
    <s v="ORD200169"/>
    <x v="1"/>
    <x v="1"/>
    <n v="2"/>
    <n v="51.3"/>
    <x v="3"/>
    <n v="102.6"/>
    <d v="2024-07-12T20:34:59"/>
    <x v="1"/>
    <s v="16848f39-e150-4449-97f6-6a07a728c9d1"/>
  </r>
  <r>
    <s v="ORD200170"/>
    <x v="3"/>
    <x v="2"/>
    <n v="4"/>
    <n v="40.75"/>
    <x v="1"/>
    <n v="163"/>
    <d v="2024-05-14T20:34:59"/>
    <x v="2"/>
    <s v="615d95a6-7745-4f8f-a16f-4c77c1bb5395"/>
  </r>
  <r>
    <s v="ORD200171"/>
    <x v="3"/>
    <x v="2"/>
    <n v="4"/>
    <n v="57.71"/>
    <x v="0"/>
    <n v="230.84"/>
    <d v="2024-09-24T20:34:59"/>
    <x v="4"/>
    <s v="0c0aadd4-e729-4c9b-948d-4ac6912dfbe1"/>
  </r>
  <r>
    <s v="ORD200172"/>
    <x v="5"/>
    <x v="2"/>
    <n v="4"/>
    <n v="24.02"/>
    <x v="11"/>
    <n v="96.08"/>
    <d v="2024-12-07T20:34:59"/>
    <x v="1"/>
    <s v="7b4a7366-72e3-4a2e-ba47-34d3f5f77b4c"/>
  </r>
  <r>
    <s v="ORD200173"/>
    <x v="4"/>
    <x v="0"/>
    <n v="1"/>
    <n v="48.45"/>
    <x v="1"/>
    <n v="48.45"/>
    <d v="2024-05-05T20:34:59"/>
    <x v="1"/>
    <s v="64206eae-c748-49b1-b38e-4facda802d3d"/>
  </r>
  <r>
    <s v="ORD200174"/>
    <x v="5"/>
    <x v="2"/>
    <n v="5"/>
    <n v="59.54"/>
    <x v="11"/>
    <n v="297.7"/>
    <d v="2024-12-18T20:34:59"/>
    <x v="2"/>
    <s v="38e5b2e6-45ff-4565-8d9f-7fdc9f647a3c"/>
  </r>
  <r>
    <s v="ORD200175"/>
    <x v="9"/>
    <x v="2"/>
    <n v="1"/>
    <n v="26.14"/>
    <x v="8"/>
    <n v="26.14"/>
    <d v="2024-06-29T20:34:59"/>
    <x v="1"/>
    <s v="73ce3b5c-f975-4e29-973b-44066dd1421f"/>
  </r>
  <r>
    <s v="ORD200176"/>
    <x v="5"/>
    <x v="2"/>
    <n v="4"/>
    <n v="55.03"/>
    <x v="6"/>
    <n v="220.12"/>
    <d v="2025-03-20T20:34:59"/>
    <x v="3"/>
    <s v="7db4882d-9287-4ac9-9ee0-5741bdf976ef"/>
  </r>
  <r>
    <s v="ORD200177"/>
    <x v="2"/>
    <x v="1"/>
    <n v="5"/>
    <n v="22.79"/>
    <x v="5"/>
    <n v="113.94999999999999"/>
    <d v="2025-02-25T20:34:59"/>
    <x v="2"/>
    <s v="777e4510-a3bf-4dbb-aef7-991b38d0d2c7"/>
  </r>
  <r>
    <s v="ORD200178"/>
    <x v="11"/>
    <x v="1"/>
    <n v="5"/>
    <n v="52.81"/>
    <x v="1"/>
    <n v="264.05"/>
    <d v="2024-05-08T20:34:59"/>
    <x v="1"/>
    <s v="95ee8df3-0b94-431a-ad04-dd4525a602c6"/>
  </r>
  <r>
    <s v="ORD200179"/>
    <x v="8"/>
    <x v="0"/>
    <n v="4"/>
    <n v="14.68"/>
    <x v="8"/>
    <n v="58.72"/>
    <d v="2024-06-13T20:34:59"/>
    <x v="2"/>
    <s v="ccc2ac67-64cc-4052-807d-ce069ab04267"/>
  </r>
  <r>
    <s v="ORD200180"/>
    <x v="0"/>
    <x v="0"/>
    <n v="4"/>
    <n v="36.69"/>
    <x v="2"/>
    <n v="146.76"/>
    <d v="2025-01-08T20:34:59"/>
    <x v="0"/>
    <s v="1aeeb048-2927-4628-b252-1b3591dbb712"/>
  </r>
  <r>
    <s v="ORD200181"/>
    <x v="2"/>
    <x v="1"/>
    <n v="1"/>
    <n v="33.22"/>
    <x v="11"/>
    <n v="33.22"/>
    <d v="2024-12-15T20:34:59"/>
    <x v="1"/>
    <s v="7a999a05-9e02-4fdf-a872-b90754f078d5"/>
  </r>
  <r>
    <s v="ORD200182"/>
    <x v="10"/>
    <x v="0"/>
    <n v="5"/>
    <n v="24.15"/>
    <x v="0"/>
    <n v="120.75"/>
    <d v="2024-09-07T20:34:59"/>
    <x v="1"/>
    <s v="b1d930ad-d431-472d-956d-66f0373fe3e6"/>
  </r>
  <r>
    <s v="ORD200183"/>
    <x v="5"/>
    <x v="2"/>
    <n v="5"/>
    <n v="31.19"/>
    <x v="0"/>
    <n v="155.95000000000002"/>
    <d v="2024-09-18T20:34:59"/>
    <x v="3"/>
    <s v="c32b5e30-25fd-430d-9c32-7a84de977107"/>
  </r>
  <r>
    <s v="ORD200184"/>
    <x v="5"/>
    <x v="2"/>
    <n v="3"/>
    <n v="24.46"/>
    <x v="8"/>
    <n v="73.38"/>
    <d v="2024-06-17T20:34:59"/>
    <x v="3"/>
    <s v="0ef0e547-3327-4d25-b7cb-f3dd38463b6e"/>
  </r>
  <r>
    <s v="ORD200185"/>
    <x v="5"/>
    <x v="2"/>
    <n v="3"/>
    <n v="59.68"/>
    <x v="1"/>
    <n v="179.04"/>
    <d v="2024-05-16T20:34:59"/>
    <x v="3"/>
    <s v="b47a7a93-020b-448c-a39d-386876292862"/>
  </r>
  <r>
    <s v="ORD200186"/>
    <x v="9"/>
    <x v="2"/>
    <n v="4"/>
    <n v="15.71"/>
    <x v="8"/>
    <n v="62.84"/>
    <d v="2024-06-17T20:34:59"/>
    <x v="2"/>
    <s v="388f54aa-4e49-4b5b-acb3-86ab02daca0f"/>
  </r>
  <r>
    <s v="ORD200187"/>
    <x v="3"/>
    <x v="2"/>
    <n v="3"/>
    <n v="50.15"/>
    <x v="6"/>
    <n v="150.44999999999999"/>
    <d v="2025-03-10T20:34:59"/>
    <x v="3"/>
    <s v="7ad42532-7e98-4344-a397-0a2df4b9b694"/>
  </r>
  <r>
    <s v="ORD200188"/>
    <x v="3"/>
    <x v="2"/>
    <n v="4"/>
    <n v="14.01"/>
    <x v="8"/>
    <n v="56.04"/>
    <d v="2024-06-03T20:34:59"/>
    <x v="2"/>
    <s v="300fd858-2e04-4daa-8f6c-245a2c3d5779"/>
  </r>
  <r>
    <s v="ORD200189"/>
    <x v="8"/>
    <x v="0"/>
    <n v="5"/>
    <n v="13.68"/>
    <x v="6"/>
    <n v="68.400000000000006"/>
    <d v="2025-03-29T20:34:59"/>
    <x v="2"/>
    <s v="d6a551ea-e55d-4e23-a890-c3ce76db1a9a"/>
  </r>
  <r>
    <s v="ORD200190"/>
    <x v="0"/>
    <x v="0"/>
    <n v="2"/>
    <n v="55.91"/>
    <x v="11"/>
    <n v="111.82"/>
    <d v="2024-12-22T20:34:59"/>
    <x v="2"/>
    <s v="77fa79db-952b-4ed2-b9ae-af81bfce70a5"/>
  </r>
  <r>
    <s v="ORD200191"/>
    <x v="6"/>
    <x v="1"/>
    <n v="3"/>
    <n v="54.75"/>
    <x v="7"/>
    <n v="164.25"/>
    <d v="2024-10-26T20:34:59"/>
    <x v="4"/>
    <s v="c3d435cd-ea52-408b-ad8c-6b3f0efd000a"/>
  </r>
  <r>
    <s v="ORD200192"/>
    <x v="7"/>
    <x v="1"/>
    <n v="2"/>
    <n v="30.92"/>
    <x v="2"/>
    <n v="61.84"/>
    <d v="2025-01-23T20:34:59"/>
    <x v="2"/>
    <s v="dba86414-bcd4-42aa-b394-fc9202d0f1e5"/>
  </r>
  <r>
    <s v="ORD200193"/>
    <x v="9"/>
    <x v="2"/>
    <n v="4"/>
    <n v="31.56"/>
    <x v="1"/>
    <n v="126.24"/>
    <d v="2024-05-12T20:34:59"/>
    <x v="0"/>
    <s v="ff489db4-c91f-4f3d-937c-b93f12b49307"/>
  </r>
  <r>
    <s v="ORD200194"/>
    <x v="3"/>
    <x v="2"/>
    <n v="4"/>
    <n v="54.68"/>
    <x v="1"/>
    <n v="218.72"/>
    <d v="2024-05-27T20:34:59"/>
    <x v="0"/>
    <s v="9950703e-1b5a-4c08-91cc-ba2c2c8d9258"/>
  </r>
  <r>
    <s v="ORD200195"/>
    <x v="0"/>
    <x v="0"/>
    <n v="3"/>
    <n v="25.53"/>
    <x v="8"/>
    <n v="76.59"/>
    <d v="2024-06-09T20:34:59"/>
    <x v="2"/>
    <s v="103ff382-9343-44ae-8dc9-fa29cc2034f1"/>
  </r>
  <r>
    <s v="ORD200196"/>
    <x v="11"/>
    <x v="1"/>
    <n v="3"/>
    <n v="37.5"/>
    <x v="1"/>
    <n v="112.5"/>
    <d v="2024-05-11T20:34:59"/>
    <x v="3"/>
    <s v="54ad8c49-024f-4bce-9af2-7091251221eb"/>
  </r>
  <r>
    <s v="ORD200197"/>
    <x v="11"/>
    <x v="1"/>
    <n v="3"/>
    <n v="57.72"/>
    <x v="1"/>
    <n v="173.16"/>
    <d v="2024-05-05T20:34:59"/>
    <x v="2"/>
    <s v="f8bf754b-0a3f-4665-84e6-2155bf87a962"/>
  </r>
  <r>
    <s v="ORD200198"/>
    <x v="8"/>
    <x v="0"/>
    <n v="1"/>
    <n v="36.64"/>
    <x v="0"/>
    <n v="36.64"/>
    <d v="2024-09-15T20:34:59"/>
    <x v="0"/>
    <s v="747b2e3a-8684-4b73-9747-007107c12deb"/>
  </r>
  <r>
    <s v="ORD200199"/>
    <x v="9"/>
    <x v="2"/>
    <n v="1"/>
    <n v="15.3"/>
    <x v="6"/>
    <n v="15.3"/>
    <d v="2025-03-22T20:34:59"/>
    <x v="0"/>
    <s v="825fb337-5ffd-4a92-984a-6d2f6b996dec"/>
  </r>
  <r>
    <s v="ORD200200"/>
    <x v="5"/>
    <x v="2"/>
    <n v="5"/>
    <n v="57.45"/>
    <x v="5"/>
    <n v="287.25"/>
    <d v="2025-02-10T20:34:59"/>
    <x v="0"/>
    <s v="e128316a-1ec2-4fae-b313-1503883d2fe8"/>
  </r>
  <r>
    <s v="ORD200201"/>
    <x v="1"/>
    <x v="1"/>
    <n v="2"/>
    <n v="50.67"/>
    <x v="10"/>
    <n v="101.34"/>
    <d v="2024-04-19T20:34:59"/>
    <x v="2"/>
    <s v="d456052d-6a94-4134-bf23-46f95c9ea017"/>
  </r>
  <r>
    <s v="ORD200202"/>
    <x v="9"/>
    <x v="2"/>
    <n v="4"/>
    <n v="15.49"/>
    <x v="1"/>
    <n v="61.96"/>
    <d v="2024-05-19T20:34:59"/>
    <x v="2"/>
    <s v="9c0b3186-e0ac-466a-838a-6fc21248eaff"/>
  </r>
  <r>
    <s v="ORD200203"/>
    <x v="0"/>
    <x v="0"/>
    <n v="2"/>
    <n v="57.59"/>
    <x v="7"/>
    <n v="115.18"/>
    <d v="2024-10-21T20:34:59"/>
    <x v="3"/>
    <s v="68b963cd-1f77-4a97-ae8a-8bd7f58d906a"/>
  </r>
  <r>
    <s v="ORD200204"/>
    <x v="0"/>
    <x v="0"/>
    <n v="4"/>
    <n v="35.82"/>
    <x v="2"/>
    <n v="143.28"/>
    <d v="2025-01-28T20:34:59"/>
    <x v="4"/>
    <s v="0a0f7096-7ca3-4028-bc8d-f330fd3634cd"/>
  </r>
  <r>
    <s v="ORD200205"/>
    <x v="9"/>
    <x v="2"/>
    <n v="2"/>
    <n v="22.86"/>
    <x v="5"/>
    <n v="45.72"/>
    <d v="2025-02-21T20:34:59"/>
    <x v="0"/>
    <s v="a6b0e243-781b-460d-8e64-b275b5247490"/>
  </r>
  <r>
    <s v="ORD200206"/>
    <x v="5"/>
    <x v="2"/>
    <n v="1"/>
    <n v="16.239999999999998"/>
    <x v="7"/>
    <n v="16.239999999999998"/>
    <d v="2024-10-22T20:34:59"/>
    <x v="4"/>
    <s v="47ac1385-0cea-489f-afd5-89b48ca1e6b9"/>
  </r>
  <r>
    <s v="ORD200207"/>
    <x v="6"/>
    <x v="1"/>
    <n v="3"/>
    <n v="36.270000000000003"/>
    <x v="3"/>
    <n v="108.81"/>
    <d v="2024-07-21T20:34:59"/>
    <x v="3"/>
    <s v="9a08bc1c-b569-4560-ad32-e508a596ae84"/>
  </r>
  <r>
    <s v="ORD200208"/>
    <x v="9"/>
    <x v="2"/>
    <n v="1"/>
    <n v="40.369999999999997"/>
    <x v="6"/>
    <n v="40.369999999999997"/>
    <d v="2025-03-20T20:34:59"/>
    <x v="4"/>
    <s v="37165be9-0515-4173-9dd6-677ab00a43c5"/>
  </r>
  <r>
    <s v="ORD200209"/>
    <x v="6"/>
    <x v="1"/>
    <n v="3"/>
    <n v="50.59"/>
    <x v="1"/>
    <n v="151.77000000000001"/>
    <d v="2024-05-19T20:34:59"/>
    <x v="3"/>
    <s v="eef1bfe9-b1b5-43c4-a801-76438e082222"/>
  </r>
  <r>
    <s v="ORD200210"/>
    <x v="0"/>
    <x v="0"/>
    <n v="4"/>
    <n v="55.91"/>
    <x v="11"/>
    <n v="223.64"/>
    <d v="2024-12-17T20:34:59"/>
    <x v="0"/>
    <s v="4cff9e51-b056-4a77-99f7-318f4bead144"/>
  </r>
  <r>
    <s v="ORD200211"/>
    <x v="7"/>
    <x v="1"/>
    <n v="5"/>
    <n v="46.07"/>
    <x v="3"/>
    <n v="230.35"/>
    <d v="2024-07-26T20:34:59"/>
    <x v="2"/>
    <s v="9025fede-68d2-4bce-8b40-d8e166fe3242"/>
  </r>
  <r>
    <s v="ORD200212"/>
    <x v="10"/>
    <x v="0"/>
    <n v="5"/>
    <n v="27.14"/>
    <x v="2"/>
    <n v="135.69999999999999"/>
    <d v="2025-01-08T20:34:59"/>
    <x v="4"/>
    <s v="e969d38f-9708-4a9c-bdfa-aeddef5a15c7"/>
  </r>
  <r>
    <s v="ORD200213"/>
    <x v="10"/>
    <x v="0"/>
    <n v="1"/>
    <n v="30.91"/>
    <x v="1"/>
    <n v="30.91"/>
    <d v="2024-05-21T20:34:59"/>
    <x v="0"/>
    <s v="aedf0c6a-0be6-43fd-8359-c7c5f74ccb3f"/>
  </r>
  <r>
    <s v="ORD200214"/>
    <x v="5"/>
    <x v="2"/>
    <n v="4"/>
    <n v="37.49"/>
    <x v="0"/>
    <n v="149.96"/>
    <d v="2024-09-17T20:34:59"/>
    <x v="2"/>
    <s v="25288693-8ebe-4182-94c6-18e55cb61432"/>
  </r>
  <r>
    <s v="ORD200215"/>
    <x v="0"/>
    <x v="0"/>
    <n v="2"/>
    <n v="19.11"/>
    <x v="0"/>
    <n v="38.22"/>
    <d v="2024-09-02T20:34:59"/>
    <x v="4"/>
    <s v="bc4d3cdc-e040-4f74-a7f3-14c92214e4b9"/>
  </r>
  <r>
    <s v="ORD200216"/>
    <x v="2"/>
    <x v="1"/>
    <n v="3"/>
    <n v="24.21"/>
    <x v="8"/>
    <n v="72.63"/>
    <d v="2024-06-28T20:34:59"/>
    <x v="0"/>
    <s v="ffa56c2a-525f-443d-99e7-6720db09d102"/>
  </r>
  <r>
    <s v="ORD200217"/>
    <x v="9"/>
    <x v="2"/>
    <n v="3"/>
    <n v="54.19"/>
    <x v="8"/>
    <n v="162.57"/>
    <d v="2024-06-21T20:34:59"/>
    <x v="3"/>
    <s v="e913d6e2-f8a7-405c-a473-1147d8039264"/>
  </r>
  <r>
    <s v="ORD200218"/>
    <x v="6"/>
    <x v="1"/>
    <n v="2"/>
    <n v="52.88"/>
    <x v="0"/>
    <n v="105.76"/>
    <d v="2024-09-27T20:34:59"/>
    <x v="0"/>
    <s v="e5d6842d-ad9e-47cd-a02f-1597d68d81e3"/>
  </r>
  <r>
    <s v="ORD200219"/>
    <x v="0"/>
    <x v="0"/>
    <n v="3"/>
    <n v="10.17"/>
    <x v="4"/>
    <n v="30.509999999999998"/>
    <d v="2024-11-25T20:34:59"/>
    <x v="1"/>
    <s v="e82bf8ba-26b0-4fac-9f50-1a36f7f08c4e"/>
  </r>
  <r>
    <s v="ORD200220"/>
    <x v="5"/>
    <x v="2"/>
    <n v="1"/>
    <n v="33.53"/>
    <x v="11"/>
    <n v="33.53"/>
    <d v="2024-12-23T20:34:59"/>
    <x v="3"/>
    <s v="7630f565-e43b-44c3-86b0-1c49d2c6879b"/>
  </r>
  <r>
    <s v="ORD200221"/>
    <x v="0"/>
    <x v="0"/>
    <n v="4"/>
    <n v="15.54"/>
    <x v="5"/>
    <n v="62.16"/>
    <d v="2025-02-06T20:34:59"/>
    <x v="0"/>
    <s v="86c2f89e-2f15-4202-abb0-53f2d08d2436"/>
  </r>
  <r>
    <s v="ORD200222"/>
    <x v="0"/>
    <x v="0"/>
    <n v="1"/>
    <n v="14.45"/>
    <x v="3"/>
    <n v="14.45"/>
    <d v="2024-07-27T20:34:59"/>
    <x v="0"/>
    <s v="ca209464-096e-4ad0-bb7b-8578955ffce4"/>
  </r>
  <r>
    <s v="ORD200223"/>
    <x v="4"/>
    <x v="0"/>
    <n v="1"/>
    <n v="27.24"/>
    <x v="1"/>
    <n v="27.24"/>
    <d v="2024-05-31T20:34:59"/>
    <x v="4"/>
    <s v="e6ded2f6-2d1b-41e6-a992-c9ced1820937"/>
  </r>
  <r>
    <s v="ORD200224"/>
    <x v="5"/>
    <x v="2"/>
    <n v="1"/>
    <n v="24.04"/>
    <x v="1"/>
    <n v="24.04"/>
    <d v="2024-05-05T20:34:59"/>
    <x v="4"/>
    <s v="dbb2af8e-b923-4ba7-942c-0f6c40e5ffaa"/>
  </r>
  <r>
    <s v="ORD200225"/>
    <x v="6"/>
    <x v="1"/>
    <n v="2"/>
    <n v="45.16"/>
    <x v="6"/>
    <n v="90.32"/>
    <d v="2025-03-17T20:34:59"/>
    <x v="1"/>
    <s v="6502fd7e-0c3f-4d27-843b-88a1f1c3c43a"/>
  </r>
  <r>
    <s v="ORD200226"/>
    <x v="6"/>
    <x v="1"/>
    <n v="5"/>
    <n v="41.71"/>
    <x v="6"/>
    <n v="208.55"/>
    <d v="2025-03-07T20:34:59"/>
    <x v="1"/>
    <s v="6589b543-3d05-40be-bac6-e2f6956e8540"/>
  </r>
  <r>
    <s v="ORD200227"/>
    <x v="8"/>
    <x v="0"/>
    <n v="5"/>
    <n v="43.52"/>
    <x v="3"/>
    <n v="217.60000000000002"/>
    <d v="2024-07-20T20:34:59"/>
    <x v="4"/>
    <s v="ca63eff4-ae81-43f7-9932-8690f2149572"/>
  </r>
  <r>
    <s v="ORD200228"/>
    <x v="10"/>
    <x v="0"/>
    <n v="1"/>
    <n v="43.79"/>
    <x v="8"/>
    <n v="43.79"/>
    <d v="2024-06-13T20:34:59"/>
    <x v="0"/>
    <s v="0618aff4-aee4-4e53-8f72-537304aac259"/>
  </r>
  <r>
    <s v="ORD200229"/>
    <x v="4"/>
    <x v="0"/>
    <n v="4"/>
    <n v="34.4"/>
    <x v="1"/>
    <n v="137.6"/>
    <d v="2024-05-17T20:34:59"/>
    <x v="1"/>
    <s v="0b72d323-46c6-462d-a222-23258b1c1605"/>
  </r>
  <r>
    <s v="ORD200230"/>
    <x v="8"/>
    <x v="0"/>
    <n v="3"/>
    <n v="17.98"/>
    <x v="5"/>
    <n v="53.94"/>
    <d v="2025-02-22T20:34:59"/>
    <x v="4"/>
    <s v="fa6dd65e-adc3-45cf-b0d6-88b92968c13f"/>
  </r>
  <r>
    <s v="ORD200231"/>
    <x v="6"/>
    <x v="1"/>
    <n v="1"/>
    <n v="24.25"/>
    <x v="10"/>
    <n v="24.25"/>
    <d v="2024-04-30T20:34:59"/>
    <x v="4"/>
    <s v="1d9e4122-91ba-4b36-9850-4a0905b59eb7"/>
  </r>
  <r>
    <s v="ORD200232"/>
    <x v="0"/>
    <x v="0"/>
    <n v="3"/>
    <n v="13.83"/>
    <x v="6"/>
    <n v="41.49"/>
    <d v="2025-03-10T20:34:59"/>
    <x v="2"/>
    <s v="7e304b08-bef7-43de-9022-264adfe86b7c"/>
  </r>
  <r>
    <s v="ORD200233"/>
    <x v="8"/>
    <x v="0"/>
    <n v="1"/>
    <n v="38.42"/>
    <x v="2"/>
    <n v="38.42"/>
    <d v="2025-01-25T20:34:59"/>
    <x v="1"/>
    <s v="269943f8-2002-4b29-8fa1-c4b52eb5d51a"/>
  </r>
  <r>
    <s v="ORD200234"/>
    <x v="2"/>
    <x v="1"/>
    <n v="3"/>
    <n v="45.43"/>
    <x v="10"/>
    <n v="136.29"/>
    <d v="2024-04-17T20:34:59"/>
    <x v="1"/>
    <s v="0b7c0692-ec3d-4ba7-90d2-0094f8800abd"/>
  </r>
  <r>
    <s v="ORD200235"/>
    <x v="0"/>
    <x v="0"/>
    <n v="4"/>
    <n v="33.06"/>
    <x v="3"/>
    <n v="132.24"/>
    <d v="2024-07-15T20:34:59"/>
    <x v="4"/>
    <s v="a39fc86a-46e7-4f24-88e8-99382f494bc4"/>
  </r>
  <r>
    <s v="ORD200236"/>
    <x v="8"/>
    <x v="0"/>
    <n v="3"/>
    <n v="24.62"/>
    <x v="6"/>
    <n v="73.86"/>
    <d v="2025-03-18T20:34:59"/>
    <x v="1"/>
    <s v="97b31058-0ff9-495c-a262-b527422d2d32"/>
  </r>
  <r>
    <s v="ORD200237"/>
    <x v="4"/>
    <x v="0"/>
    <n v="5"/>
    <n v="47.36"/>
    <x v="11"/>
    <n v="236.8"/>
    <d v="2024-12-08T20:34:59"/>
    <x v="4"/>
    <s v="b52030f2-9717-457a-a886-3e84710dc700"/>
  </r>
  <r>
    <s v="ORD200238"/>
    <x v="1"/>
    <x v="1"/>
    <n v="4"/>
    <n v="33.04"/>
    <x v="2"/>
    <n v="132.16"/>
    <d v="2025-01-18T20:34:59"/>
    <x v="2"/>
    <s v="f61dad5b-b9e9-4330-baf1-2f2b4a93ec65"/>
  </r>
  <r>
    <s v="ORD200239"/>
    <x v="5"/>
    <x v="2"/>
    <n v="2"/>
    <n v="41.9"/>
    <x v="10"/>
    <n v="83.8"/>
    <d v="2024-04-10T20:34:59"/>
    <x v="2"/>
    <s v="0afcb1fb-1e69-4188-8eb6-8490321db424"/>
  </r>
  <r>
    <s v="ORD200240"/>
    <x v="0"/>
    <x v="0"/>
    <n v="4"/>
    <n v="10.84"/>
    <x v="4"/>
    <n v="43.36"/>
    <d v="2024-11-09T20:34:59"/>
    <x v="3"/>
    <s v="150e0057-7b0d-4fb5-a412-11b748ae88eb"/>
  </r>
  <r>
    <s v="ORD200241"/>
    <x v="0"/>
    <x v="0"/>
    <n v="1"/>
    <n v="12.04"/>
    <x v="2"/>
    <n v="12.04"/>
    <d v="2025-01-31T20:34:59"/>
    <x v="0"/>
    <s v="ea893c39-e303-455b-990e-db2b7ba1beae"/>
  </r>
  <r>
    <s v="ORD200242"/>
    <x v="5"/>
    <x v="2"/>
    <n v="5"/>
    <n v="31.09"/>
    <x v="9"/>
    <n v="155.44999999999999"/>
    <d v="2024-08-25T20:34:59"/>
    <x v="4"/>
    <s v="dff4d2ef-ce65-45f2-afe9-9e60ecc46812"/>
  </r>
  <r>
    <s v="ORD200243"/>
    <x v="5"/>
    <x v="2"/>
    <n v="1"/>
    <n v="15.23"/>
    <x v="9"/>
    <n v="15.23"/>
    <d v="2024-08-16T20:34:59"/>
    <x v="0"/>
    <s v="bb41d6ec-7433-405a-a2dd-18865c4bffe9"/>
  </r>
  <r>
    <s v="ORD200244"/>
    <x v="10"/>
    <x v="0"/>
    <n v="2"/>
    <n v="40.97"/>
    <x v="6"/>
    <n v="81.94"/>
    <d v="2025-03-30T20:34:59"/>
    <x v="1"/>
    <s v="5ada330d-85f4-4b82-8c9b-b0c88151a7e3"/>
  </r>
  <r>
    <s v="ORD200245"/>
    <x v="8"/>
    <x v="0"/>
    <n v="5"/>
    <n v="18.66"/>
    <x v="7"/>
    <n v="93.3"/>
    <d v="2024-10-03T20:34:59"/>
    <x v="3"/>
    <s v="7970197b-bf8c-4d57-a631-14278fef450b"/>
  </r>
  <r>
    <s v="ORD200246"/>
    <x v="10"/>
    <x v="0"/>
    <n v="4"/>
    <n v="45.74"/>
    <x v="3"/>
    <n v="182.96"/>
    <d v="2024-07-02T20:34:59"/>
    <x v="4"/>
    <s v="430201c7-9152-49ca-97bc-37c537cba50c"/>
  </r>
  <r>
    <s v="ORD200247"/>
    <x v="3"/>
    <x v="2"/>
    <n v="5"/>
    <n v="42.12"/>
    <x v="8"/>
    <n v="210.6"/>
    <d v="2024-06-23T20:34:59"/>
    <x v="3"/>
    <s v="8a9b7273-e5d1-49ed-8089-0b17ff20e60b"/>
  </r>
  <r>
    <s v="ORD200248"/>
    <x v="3"/>
    <x v="2"/>
    <n v="1"/>
    <n v="54.42"/>
    <x v="0"/>
    <n v="54.42"/>
    <d v="2024-09-21T20:34:59"/>
    <x v="3"/>
    <s v="122bb041-8985-4d41-8464-e26e4a0ada81"/>
  </r>
  <r>
    <s v="ORD200249"/>
    <x v="0"/>
    <x v="0"/>
    <n v="5"/>
    <n v="51.48"/>
    <x v="0"/>
    <n v="257.39999999999998"/>
    <d v="2024-09-05T20:34:59"/>
    <x v="2"/>
    <s v="d3cd0f60-8dac-4a12-a41b-3a827901c44c"/>
  </r>
  <r>
    <s v="ORD200250"/>
    <x v="8"/>
    <x v="0"/>
    <n v="1"/>
    <n v="38.909999999999997"/>
    <x v="6"/>
    <n v="38.909999999999997"/>
    <d v="2025-03-23T20:34:59"/>
    <x v="1"/>
    <s v="d7d782b6-54b2-4b18-b38f-59d9a5d29f7c"/>
  </r>
  <r>
    <s v="ORD200251"/>
    <x v="1"/>
    <x v="1"/>
    <n v="5"/>
    <n v="37.619999999999997"/>
    <x v="9"/>
    <n v="188.1"/>
    <d v="2024-08-27T20:34:59"/>
    <x v="0"/>
    <s v="cddbae36-b7f6-4eae-a595-360d06b7ae49"/>
  </r>
  <r>
    <s v="ORD200252"/>
    <x v="0"/>
    <x v="0"/>
    <n v="3"/>
    <n v="39.619999999999997"/>
    <x v="4"/>
    <n v="118.85999999999999"/>
    <d v="2024-11-29T20:34:59"/>
    <x v="2"/>
    <s v="2268438d-33dc-4f6f-84c1-fdc8e3bf417d"/>
  </r>
  <r>
    <s v="ORD200253"/>
    <x v="2"/>
    <x v="1"/>
    <n v="3"/>
    <n v="40.68"/>
    <x v="10"/>
    <n v="122.03999999999999"/>
    <d v="2024-04-21T20:34:59"/>
    <x v="2"/>
    <s v="022786fd-a59d-4bac-a460-3caf058abac7"/>
  </r>
  <r>
    <s v="ORD200254"/>
    <x v="1"/>
    <x v="1"/>
    <n v="4"/>
    <n v="24.31"/>
    <x v="2"/>
    <n v="97.24"/>
    <d v="2025-01-13T20:34:59"/>
    <x v="1"/>
    <s v="eda4f41e-614d-4f19-acd8-ee7a5c2bb19c"/>
  </r>
  <r>
    <s v="ORD200255"/>
    <x v="1"/>
    <x v="1"/>
    <n v="3"/>
    <n v="11.64"/>
    <x v="4"/>
    <n v="34.92"/>
    <d v="2024-11-23T20:34:59"/>
    <x v="0"/>
    <s v="83a9ba95-77d2-4d6f-b584-f93a22acac9d"/>
  </r>
  <r>
    <s v="ORD200256"/>
    <x v="1"/>
    <x v="1"/>
    <n v="2"/>
    <n v="26.52"/>
    <x v="1"/>
    <n v="53.04"/>
    <d v="2024-05-18T20:34:59"/>
    <x v="1"/>
    <s v="34f7f58b-6cd8-4d09-a21c-03660e25ece7"/>
  </r>
  <r>
    <s v="ORD200257"/>
    <x v="5"/>
    <x v="2"/>
    <n v="1"/>
    <n v="12.62"/>
    <x v="10"/>
    <n v="12.62"/>
    <d v="2024-04-20T20:34:59"/>
    <x v="2"/>
    <s v="ba113879-db76-4992-ad02-61b109bf1e8c"/>
  </r>
  <r>
    <s v="ORD200258"/>
    <x v="9"/>
    <x v="2"/>
    <n v="1"/>
    <n v="10.61"/>
    <x v="11"/>
    <n v="10.61"/>
    <d v="2024-12-31T20:34:59"/>
    <x v="1"/>
    <s v="a966f406-2998-47f2-8225-5389005603dd"/>
  </r>
  <r>
    <s v="ORD200259"/>
    <x v="1"/>
    <x v="1"/>
    <n v="1"/>
    <n v="34.299999999999997"/>
    <x v="11"/>
    <n v="34.299999999999997"/>
    <d v="2024-12-17T20:34:59"/>
    <x v="4"/>
    <s v="46ab07d8-72cd-47b0-ab41-31c08e9891ae"/>
  </r>
  <r>
    <s v="ORD200260"/>
    <x v="11"/>
    <x v="1"/>
    <n v="3"/>
    <n v="56.36"/>
    <x v="0"/>
    <n v="169.07999999999998"/>
    <d v="2024-09-20T20:34:59"/>
    <x v="4"/>
    <s v="29e1660e-ad9e-481c-93f4-92fe0069c5e0"/>
  </r>
  <r>
    <s v="ORD200261"/>
    <x v="10"/>
    <x v="0"/>
    <n v="5"/>
    <n v="55.21"/>
    <x v="8"/>
    <n v="276.05"/>
    <d v="2024-06-22T20:34:59"/>
    <x v="3"/>
    <s v="ff7c5afe-242c-4e57-a147-2206f5333f51"/>
  </r>
  <r>
    <s v="ORD200262"/>
    <x v="8"/>
    <x v="0"/>
    <n v="4"/>
    <n v="24.92"/>
    <x v="7"/>
    <n v="99.68"/>
    <d v="2024-10-02T20:34:59"/>
    <x v="4"/>
    <s v="7b3d8733-4012-471d-94fa-4c92e7824d12"/>
  </r>
  <r>
    <s v="ORD200263"/>
    <x v="6"/>
    <x v="1"/>
    <n v="1"/>
    <n v="43.42"/>
    <x v="4"/>
    <n v="43.42"/>
    <d v="2024-11-04T20:34:59"/>
    <x v="1"/>
    <s v="af1b5af8-cab2-4335-b31f-e4c554d8232b"/>
  </r>
  <r>
    <s v="ORD200264"/>
    <x v="2"/>
    <x v="1"/>
    <n v="3"/>
    <n v="23.86"/>
    <x v="6"/>
    <n v="71.58"/>
    <d v="2025-03-16T20:34:59"/>
    <x v="1"/>
    <s v="f3a296d8-1267-4839-b2af-9009a8c393e6"/>
  </r>
  <r>
    <s v="ORD200265"/>
    <x v="0"/>
    <x v="0"/>
    <n v="5"/>
    <n v="47.65"/>
    <x v="5"/>
    <n v="238.25"/>
    <d v="2025-02-10T20:34:59"/>
    <x v="0"/>
    <s v="fec64cb8-faf6-46bd-817b-000f247f28f9"/>
  </r>
  <r>
    <s v="ORD200266"/>
    <x v="0"/>
    <x v="0"/>
    <n v="4"/>
    <n v="24.56"/>
    <x v="1"/>
    <n v="98.24"/>
    <d v="2024-05-30T20:34:59"/>
    <x v="3"/>
    <s v="f5cd48c9-2d2a-4125-ad34-d14f9087319d"/>
  </r>
  <r>
    <s v="ORD200267"/>
    <x v="3"/>
    <x v="2"/>
    <n v="4"/>
    <n v="36.96"/>
    <x v="6"/>
    <n v="147.84"/>
    <d v="2025-03-16T20:34:59"/>
    <x v="3"/>
    <s v="2ebf93cd-ff8d-436a-84b7-34a166adfb91"/>
  </r>
  <r>
    <s v="ORD200268"/>
    <x v="8"/>
    <x v="0"/>
    <n v="5"/>
    <n v="32.729999999999997"/>
    <x v="7"/>
    <n v="163.64999999999998"/>
    <d v="2024-10-03T20:34:59"/>
    <x v="1"/>
    <s v="dab1f9c9-1fb1-48b1-bb30-ac83b1aaec93"/>
  </r>
  <r>
    <s v="ORD200269"/>
    <x v="7"/>
    <x v="1"/>
    <n v="5"/>
    <n v="26.86"/>
    <x v="2"/>
    <n v="134.30000000000001"/>
    <d v="2025-01-04T20:34:59"/>
    <x v="4"/>
    <s v="08616f6c-e017-46ae-b58b-5b82382204c4"/>
  </r>
  <r>
    <s v="ORD200270"/>
    <x v="4"/>
    <x v="0"/>
    <n v="1"/>
    <n v="14.79"/>
    <x v="2"/>
    <n v="14.79"/>
    <d v="2025-01-05T20:34:59"/>
    <x v="1"/>
    <s v="5e61f6a2-8ef5-457f-81b9-fa6e69f1d8e1"/>
  </r>
  <r>
    <s v="ORD200271"/>
    <x v="6"/>
    <x v="1"/>
    <n v="2"/>
    <n v="40.729999999999997"/>
    <x v="11"/>
    <n v="81.459999999999994"/>
    <d v="2024-12-15T20:34:59"/>
    <x v="4"/>
    <s v="f3232a10-08bb-4eca-aa09-9c4412943eb3"/>
  </r>
  <r>
    <s v="ORD200272"/>
    <x v="5"/>
    <x v="2"/>
    <n v="3"/>
    <n v="17.190000000000001"/>
    <x v="3"/>
    <n v="51.570000000000007"/>
    <d v="2024-07-30T20:34:59"/>
    <x v="2"/>
    <s v="ad38c15e-9420-41a4-b1d4-34c4e510b81c"/>
  </r>
  <r>
    <s v="ORD200273"/>
    <x v="0"/>
    <x v="0"/>
    <n v="3"/>
    <n v="11.11"/>
    <x v="10"/>
    <n v="33.33"/>
    <d v="2024-04-24T20:34:59"/>
    <x v="0"/>
    <s v="4593cec3-1ce0-4cfe-bcff-61366f1b00b9"/>
  </r>
  <r>
    <s v="ORD200274"/>
    <x v="6"/>
    <x v="1"/>
    <n v="4"/>
    <n v="32.24"/>
    <x v="2"/>
    <n v="128.96"/>
    <d v="2025-01-08T20:34:59"/>
    <x v="4"/>
    <s v="df67a0a9-1bb7-4501-aac5-082af1763543"/>
  </r>
  <r>
    <s v="ORD200275"/>
    <x v="6"/>
    <x v="1"/>
    <n v="1"/>
    <n v="58.16"/>
    <x v="5"/>
    <n v="58.16"/>
    <d v="2025-02-24T20:34:59"/>
    <x v="1"/>
    <s v="712f09d2-c3ce-4859-ad4b-abb9d7065f84"/>
  </r>
  <r>
    <s v="ORD200276"/>
    <x v="3"/>
    <x v="2"/>
    <n v="4"/>
    <n v="40.590000000000003"/>
    <x v="0"/>
    <n v="162.36000000000001"/>
    <d v="2024-09-17T20:34:59"/>
    <x v="4"/>
    <s v="74813645-56b2-4715-be35-5aeaabd23afa"/>
  </r>
  <r>
    <s v="ORD200277"/>
    <x v="11"/>
    <x v="1"/>
    <n v="4"/>
    <n v="30.99"/>
    <x v="4"/>
    <n v="123.96"/>
    <d v="2024-11-16T20:34:59"/>
    <x v="2"/>
    <s v="9b7e0277-45ce-4baa-919e-3cfa4fc398bf"/>
  </r>
  <r>
    <s v="ORD200278"/>
    <x v="0"/>
    <x v="0"/>
    <n v="5"/>
    <n v="24.21"/>
    <x v="0"/>
    <n v="121.05000000000001"/>
    <d v="2024-09-02T20:34:59"/>
    <x v="4"/>
    <s v="20a53671-10aa-4484-9232-e0720c521277"/>
  </r>
  <r>
    <s v="ORD200279"/>
    <x v="4"/>
    <x v="0"/>
    <n v="5"/>
    <n v="25.35"/>
    <x v="1"/>
    <n v="126.75"/>
    <d v="2024-05-15T20:34:59"/>
    <x v="3"/>
    <s v="70a23842-e200-4435-86db-c1fe4819d7e0"/>
  </r>
  <r>
    <s v="ORD200280"/>
    <x v="8"/>
    <x v="0"/>
    <n v="3"/>
    <n v="58.03"/>
    <x v="7"/>
    <n v="174.09"/>
    <d v="2024-10-01T20:34:59"/>
    <x v="2"/>
    <s v="fb45ff73-0e34-4680-8b1d-a1fd9c478281"/>
  </r>
  <r>
    <s v="ORD200281"/>
    <x v="4"/>
    <x v="0"/>
    <n v="3"/>
    <n v="17.559999999999999"/>
    <x v="0"/>
    <n v="52.679999999999993"/>
    <d v="2024-09-18T20:34:59"/>
    <x v="1"/>
    <s v="c5a617df-007b-4372-843b-a4347e9927f1"/>
  </r>
  <r>
    <s v="ORD200282"/>
    <x v="3"/>
    <x v="2"/>
    <n v="2"/>
    <n v="54.09"/>
    <x v="8"/>
    <n v="108.18"/>
    <d v="2024-06-25T20:34:59"/>
    <x v="3"/>
    <s v="88362408-87fb-4396-b8a9-789f3fbc7c9f"/>
  </r>
  <r>
    <s v="ORD200283"/>
    <x v="10"/>
    <x v="0"/>
    <n v="1"/>
    <n v="14.09"/>
    <x v="1"/>
    <n v="14.09"/>
    <d v="2024-05-23T20:34:59"/>
    <x v="1"/>
    <s v="0affa2b6-02f3-4205-afc7-d30eba7906c3"/>
  </r>
  <r>
    <s v="ORD200284"/>
    <x v="10"/>
    <x v="0"/>
    <n v="1"/>
    <n v="21.84"/>
    <x v="8"/>
    <n v="21.84"/>
    <d v="2024-06-12T20:34:59"/>
    <x v="1"/>
    <s v="c78cbe39-16d5-4368-a92c-95cd90be0e02"/>
  </r>
  <r>
    <s v="ORD200285"/>
    <x v="8"/>
    <x v="0"/>
    <n v="2"/>
    <n v="53.16"/>
    <x v="9"/>
    <n v="106.32"/>
    <d v="2024-08-26T20:34:59"/>
    <x v="2"/>
    <s v="9d5d88e1-3ca1-42c3-b1fb-6559df8fe44f"/>
  </r>
  <r>
    <s v="ORD200286"/>
    <x v="3"/>
    <x v="2"/>
    <n v="4"/>
    <n v="31.32"/>
    <x v="9"/>
    <n v="125.28"/>
    <d v="2024-08-17T20:34:59"/>
    <x v="0"/>
    <s v="3f77a1e1-1562-473e-8b58-d6a9f67d25e7"/>
  </r>
  <r>
    <s v="ORD200287"/>
    <x v="11"/>
    <x v="1"/>
    <n v="2"/>
    <n v="44.82"/>
    <x v="2"/>
    <n v="89.64"/>
    <d v="2025-01-02T20:34:59"/>
    <x v="1"/>
    <s v="15c8ff7c-c25a-467d-8692-944f3bae5b75"/>
  </r>
  <r>
    <s v="ORD200288"/>
    <x v="6"/>
    <x v="1"/>
    <n v="3"/>
    <n v="10.97"/>
    <x v="0"/>
    <n v="32.910000000000004"/>
    <d v="2024-09-04T20:34:59"/>
    <x v="3"/>
    <s v="f4b0515a-6520-4cfc-961f-c9d17d4abb2a"/>
  </r>
  <r>
    <s v="ORD200289"/>
    <x v="6"/>
    <x v="1"/>
    <n v="2"/>
    <n v="28.51"/>
    <x v="8"/>
    <n v="57.02"/>
    <d v="2024-06-23T20:34:59"/>
    <x v="2"/>
    <s v="277375a3-860f-46cd-9a1a-bf31453d86ba"/>
  </r>
  <r>
    <s v="ORD200290"/>
    <x v="10"/>
    <x v="0"/>
    <n v="1"/>
    <n v="25.77"/>
    <x v="5"/>
    <n v="25.77"/>
    <d v="2025-02-21T20:34:59"/>
    <x v="1"/>
    <s v="7a61ddcb-7891-4c89-b6e1-d9a75ae22bc9"/>
  </r>
  <r>
    <s v="ORD200291"/>
    <x v="4"/>
    <x v="0"/>
    <n v="1"/>
    <n v="45.15"/>
    <x v="7"/>
    <n v="45.15"/>
    <d v="2024-10-20T20:34:59"/>
    <x v="0"/>
    <s v="95a139d5-30b8-46f3-9d0d-8d70fb7777f5"/>
  </r>
  <r>
    <s v="ORD200292"/>
    <x v="3"/>
    <x v="2"/>
    <n v="3"/>
    <n v="35.32"/>
    <x v="5"/>
    <n v="105.96000000000001"/>
    <d v="2025-02-10T20:34:59"/>
    <x v="0"/>
    <s v="e4701af7-697d-4a90-9647-a77b3ffaf16f"/>
  </r>
  <r>
    <s v="ORD200293"/>
    <x v="7"/>
    <x v="1"/>
    <n v="4"/>
    <n v="21.51"/>
    <x v="0"/>
    <n v="86.04"/>
    <d v="2024-09-04T20:34:59"/>
    <x v="1"/>
    <s v="0a1e4683-87a0-4af2-9b8d-fc94df983307"/>
  </r>
  <r>
    <s v="ORD200294"/>
    <x v="1"/>
    <x v="1"/>
    <n v="3"/>
    <n v="39.97"/>
    <x v="9"/>
    <n v="119.91"/>
    <d v="2024-08-13T20:34:59"/>
    <x v="1"/>
    <s v="cf7f5215-9f57-4c7d-9c1a-b9c5c1c61ed4"/>
  </r>
  <r>
    <s v="ORD200295"/>
    <x v="3"/>
    <x v="2"/>
    <n v="4"/>
    <n v="21.01"/>
    <x v="6"/>
    <n v="84.04"/>
    <d v="2025-03-15T20:34:59"/>
    <x v="4"/>
    <s v="b9e3f82d-5ffc-4f28-a03b-fa0f63f8926b"/>
  </r>
  <r>
    <s v="ORD200296"/>
    <x v="5"/>
    <x v="2"/>
    <n v="5"/>
    <n v="43.87"/>
    <x v="9"/>
    <n v="219.35"/>
    <d v="2024-08-03T20:34:59"/>
    <x v="3"/>
    <s v="202d319f-58c3-4dc0-8176-3fd2ee49f2f7"/>
  </r>
  <r>
    <s v="ORD200297"/>
    <x v="4"/>
    <x v="0"/>
    <n v="1"/>
    <n v="40.64"/>
    <x v="4"/>
    <n v="40.64"/>
    <d v="2024-11-17T20:34:59"/>
    <x v="3"/>
    <s v="be5eb558-339a-47db-9aae-f6cf548cea38"/>
  </r>
  <r>
    <s v="ORD200298"/>
    <x v="8"/>
    <x v="0"/>
    <n v="2"/>
    <n v="36.78"/>
    <x v="6"/>
    <n v="73.56"/>
    <d v="2025-03-01T20:34:59"/>
    <x v="4"/>
    <s v="a38d2522-debc-47a5-8385-c5f515ac361b"/>
  </r>
  <r>
    <s v="ORD200299"/>
    <x v="4"/>
    <x v="0"/>
    <n v="3"/>
    <n v="53.88"/>
    <x v="8"/>
    <n v="161.64000000000001"/>
    <d v="2024-06-21T20:34:59"/>
    <x v="1"/>
    <s v="96066f2a-a409-4193-86e2-036f7e2f862a"/>
  </r>
  <r>
    <s v="ORD200300"/>
    <x v="2"/>
    <x v="1"/>
    <n v="1"/>
    <n v="49.53"/>
    <x v="6"/>
    <n v="49.53"/>
    <d v="2025-03-21T20:34:59"/>
    <x v="4"/>
    <s v="2bac9934-56cd-409f-8059-04bd362390c2"/>
  </r>
  <r>
    <s v="ORD200301"/>
    <x v="5"/>
    <x v="2"/>
    <n v="5"/>
    <n v="38.119999999999997"/>
    <x v="3"/>
    <n v="190.6"/>
    <d v="2024-07-27T20:34:59"/>
    <x v="2"/>
    <s v="51681eae-7332-4f30-b249-e98f9615f736"/>
  </r>
  <r>
    <s v="ORD200302"/>
    <x v="4"/>
    <x v="0"/>
    <n v="2"/>
    <n v="41.06"/>
    <x v="3"/>
    <n v="82.12"/>
    <d v="2024-07-21T20:34:59"/>
    <x v="2"/>
    <s v="7b8166d3-3bfb-4e34-a77f-178840df60c9"/>
  </r>
  <r>
    <s v="ORD200303"/>
    <x v="0"/>
    <x v="0"/>
    <n v="2"/>
    <n v="19.95"/>
    <x v="0"/>
    <n v="39.9"/>
    <d v="2024-09-09T20:34:59"/>
    <x v="4"/>
    <s v="de1f60f6-f900-43e4-bf87-069b21c5fcd3"/>
  </r>
  <r>
    <s v="ORD200304"/>
    <x v="11"/>
    <x v="1"/>
    <n v="3"/>
    <n v="52.96"/>
    <x v="4"/>
    <n v="158.88"/>
    <d v="2024-11-16T20:34:59"/>
    <x v="4"/>
    <s v="df5b6963-3991-4e19-a719-26f6d1356be0"/>
  </r>
  <r>
    <s v="ORD200305"/>
    <x v="0"/>
    <x v="0"/>
    <n v="4"/>
    <n v="11.63"/>
    <x v="11"/>
    <n v="46.52"/>
    <d v="2024-12-26T20:34:59"/>
    <x v="1"/>
    <s v="33919162-3558-430e-9bac-7596e11ab40d"/>
  </r>
  <r>
    <s v="ORD200306"/>
    <x v="0"/>
    <x v="0"/>
    <n v="5"/>
    <n v="41.9"/>
    <x v="0"/>
    <n v="209.5"/>
    <d v="2024-09-27T20:34:59"/>
    <x v="3"/>
    <s v="d453e136-979e-4e7f-8f5f-33863ca82b12"/>
  </r>
  <r>
    <s v="ORD200307"/>
    <x v="7"/>
    <x v="1"/>
    <n v="1"/>
    <n v="16.09"/>
    <x v="10"/>
    <n v="16.09"/>
    <d v="2024-04-10T20:34:59"/>
    <x v="2"/>
    <s v="2299b407-2f64-47c0-ae10-34ab5052fa38"/>
  </r>
  <r>
    <s v="ORD200308"/>
    <x v="0"/>
    <x v="0"/>
    <n v="4"/>
    <n v="13.57"/>
    <x v="5"/>
    <n v="54.28"/>
    <d v="2025-02-27T20:34:59"/>
    <x v="2"/>
    <s v="68666063-18bb-4b85-9d5d-035cb8acf8bf"/>
  </r>
  <r>
    <s v="ORD200309"/>
    <x v="3"/>
    <x v="2"/>
    <n v="2"/>
    <n v="55.36"/>
    <x v="3"/>
    <n v="110.72"/>
    <d v="2024-07-23T20:34:59"/>
    <x v="2"/>
    <s v="5945298a-164e-431f-996d-3a668d7c0614"/>
  </r>
  <r>
    <s v="ORD200310"/>
    <x v="7"/>
    <x v="1"/>
    <n v="4"/>
    <n v="35.450000000000003"/>
    <x v="4"/>
    <n v="141.80000000000001"/>
    <d v="2024-11-06T20:34:59"/>
    <x v="1"/>
    <s v="fd343a0e-991d-463e-91e9-dd0f55e6d374"/>
  </r>
  <r>
    <s v="ORD200311"/>
    <x v="0"/>
    <x v="0"/>
    <n v="4"/>
    <n v="33.450000000000003"/>
    <x v="10"/>
    <n v="133.80000000000001"/>
    <d v="2024-04-23T20:34:59"/>
    <x v="3"/>
    <s v="5ab61f99-0593-4b87-a523-29ad8afd281d"/>
  </r>
  <r>
    <s v="ORD200312"/>
    <x v="6"/>
    <x v="1"/>
    <n v="1"/>
    <n v="40.46"/>
    <x v="5"/>
    <n v="40.46"/>
    <d v="2025-02-25T20:34:59"/>
    <x v="3"/>
    <s v="f59f77d2-5b2e-48d1-bb04-ec4ae396f84b"/>
  </r>
  <r>
    <s v="ORD200313"/>
    <x v="11"/>
    <x v="1"/>
    <n v="5"/>
    <n v="14.43"/>
    <x v="6"/>
    <n v="72.150000000000006"/>
    <d v="2025-03-12T20:34:59"/>
    <x v="3"/>
    <s v="af46d7ae-3ae6-47fb-b1ad-7ac7ea92e98a"/>
  </r>
  <r>
    <s v="ORD200314"/>
    <x v="6"/>
    <x v="1"/>
    <n v="4"/>
    <n v="48.33"/>
    <x v="4"/>
    <n v="193.32"/>
    <d v="2024-11-28T20:34:59"/>
    <x v="4"/>
    <s v="ec84f54f-8c55-4ad6-8cb6-9ce8accabb4a"/>
  </r>
  <r>
    <s v="ORD200315"/>
    <x v="10"/>
    <x v="0"/>
    <n v="2"/>
    <n v="38.35"/>
    <x v="5"/>
    <n v="76.7"/>
    <d v="2025-02-11T20:34:59"/>
    <x v="2"/>
    <s v="e72cffd0-889d-4414-9031-c78094bbeeaf"/>
  </r>
  <r>
    <s v="ORD200316"/>
    <x v="6"/>
    <x v="1"/>
    <n v="3"/>
    <n v="48.22"/>
    <x v="1"/>
    <n v="144.66"/>
    <d v="2024-05-19T20:34:59"/>
    <x v="3"/>
    <s v="1ca9b4fb-b5f6-4365-980e-0335a8e09a17"/>
  </r>
  <r>
    <s v="ORD200317"/>
    <x v="4"/>
    <x v="0"/>
    <n v="5"/>
    <n v="39.58"/>
    <x v="6"/>
    <n v="197.89999999999998"/>
    <d v="2025-03-16T20:34:59"/>
    <x v="2"/>
    <s v="c890b40d-9d17-47d3-bb51-8a77dc482f4c"/>
  </r>
  <r>
    <s v="ORD200318"/>
    <x v="7"/>
    <x v="1"/>
    <n v="1"/>
    <n v="16.62"/>
    <x v="7"/>
    <n v="16.62"/>
    <d v="2024-10-23T20:34:59"/>
    <x v="3"/>
    <s v="d99d49da-4f78-4e81-92ee-3cd4fbb0bbd6"/>
  </r>
  <r>
    <s v="ORD200319"/>
    <x v="2"/>
    <x v="1"/>
    <n v="4"/>
    <n v="18.77"/>
    <x v="3"/>
    <n v="75.08"/>
    <d v="2024-07-01T20:34:59"/>
    <x v="1"/>
    <s v="57f5f91b-51f0-4b2a-a764-8bdf23d8900f"/>
  </r>
  <r>
    <s v="ORD200320"/>
    <x v="5"/>
    <x v="2"/>
    <n v="2"/>
    <n v="59.64"/>
    <x v="11"/>
    <n v="119.28"/>
    <d v="2024-12-13T20:34:59"/>
    <x v="1"/>
    <s v="a40226df-dafd-44f7-9c0f-5dcdadd490a1"/>
  </r>
  <r>
    <s v="ORD200321"/>
    <x v="5"/>
    <x v="2"/>
    <n v="1"/>
    <n v="30.73"/>
    <x v="4"/>
    <n v="30.73"/>
    <d v="2024-11-27T20:34:59"/>
    <x v="2"/>
    <s v="d1d8a2ab-97a9-4e99-8e55-ebf8ccbbe7c5"/>
  </r>
  <r>
    <s v="ORD200322"/>
    <x v="8"/>
    <x v="0"/>
    <n v="1"/>
    <n v="11.76"/>
    <x v="8"/>
    <n v="11.76"/>
    <d v="2024-06-22T20:34:59"/>
    <x v="1"/>
    <s v="03950ce7-be66-40bf-8c06-f2c883fa7451"/>
  </r>
  <r>
    <s v="ORD200323"/>
    <x v="3"/>
    <x v="2"/>
    <n v="3"/>
    <n v="14.68"/>
    <x v="11"/>
    <n v="44.04"/>
    <d v="2024-12-23T20:34:59"/>
    <x v="4"/>
    <s v="ae3994ab-1f20-49ea-bf21-5a9263a8c7e2"/>
  </r>
  <r>
    <s v="ORD200324"/>
    <x v="6"/>
    <x v="1"/>
    <n v="3"/>
    <n v="40.69"/>
    <x v="9"/>
    <n v="122.07"/>
    <d v="2024-08-30T20:34:59"/>
    <x v="2"/>
    <s v="c5c5700c-523c-4437-880a-7f3c48d9c542"/>
  </r>
  <r>
    <s v="ORD200325"/>
    <x v="10"/>
    <x v="0"/>
    <n v="4"/>
    <n v="44.74"/>
    <x v="6"/>
    <n v="178.96"/>
    <d v="2025-03-29T20:34:59"/>
    <x v="4"/>
    <s v="bf03c831-02e5-4e90-85b1-803633ba3095"/>
  </r>
  <r>
    <s v="ORD200326"/>
    <x v="8"/>
    <x v="0"/>
    <n v="1"/>
    <n v="48.33"/>
    <x v="4"/>
    <n v="48.33"/>
    <d v="2024-11-24T20:34:59"/>
    <x v="0"/>
    <s v="86256441-d6c9-427e-bb4f-a19e17322d73"/>
  </r>
  <r>
    <s v="ORD200327"/>
    <x v="0"/>
    <x v="0"/>
    <n v="1"/>
    <n v="27.51"/>
    <x v="10"/>
    <n v="27.51"/>
    <d v="2024-04-19T20:34:59"/>
    <x v="2"/>
    <s v="2debbe34-89bb-41bf-a7c2-4c93f353e52f"/>
  </r>
  <r>
    <s v="ORD200328"/>
    <x v="4"/>
    <x v="0"/>
    <n v="3"/>
    <n v="13.5"/>
    <x v="3"/>
    <n v="40.5"/>
    <d v="2024-07-13T20:34:59"/>
    <x v="0"/>
    <s v="46e00d27-0bb6-4aa6-bb37-34e229e0011f"/>
  </r>
  <r>
    <s v="ORD200329"/>
    <x v="9"/>
    <x v="2"/>
    <n v="5"/>
    <n v="14.75"/>
    <x v="7"/>
    <n v="73.75"/>
    <d v="2024-10-07T20:34:59"/>
    <x v="3"/>
    <s v="d8925ae9-4dd6-4e7f-8e59-c682e84db78c"/>
  </r>
  <r>
    <s v="ORD200330"/>
    <x v="3"/>
    <x v="2"/>
    <n v="1"/>
    <n v="33.03"/>
    <x v="2"/>
    <n v="33.03"/>
    <d v="2025-01-01T20:34:59"/>
    <x v="4"/>
    <s v="554b1d70-5ca6-4321-8e7c-f39dc559288b"/>
  </r>
  <r>
    <s v="ORD200331"/>
    <x v="11"/>
    <x v="1"/>
    <n v="1"/>
    <n v="12.73"/>
    <x v="8"/>
    <n v="12.73"/>
    <d v="2024-06-27T20:34:59"/>
    <x v="0"/>
    <s v="bec4ad7c-34fe-4511-8297-e33af0672b2f"/>
  </r>
  <r>
    <s v="ORD200332"/>
    <x v="4"/>
    <x v="0"/>
    <n v="1"/>
    <n v="58.67"/>
    <x v="2"/>
    <n v="58.67"/>
    <d v="2025-01-21T20:34:59"/>
    <x v="4"/>
    <s v="28ec688c-e4d5-470c-ad80-f1b7e99053fa"/>
  </r>
  <r>
    <s v="ORD200333"/>
    <x v="1"/>
    <x v="1"/>
    <n v="1"/>
    <n v="26.98"/>
    <x v="7"/>
    <n v="26.98"/>
    <d v="2024-10-16T20:34:59"/>
    <x v="2"/>
    <s v="d06c260a-96cd-4371-acc8-1621429f9d13"/>
  </r>
  <r>
    <s v="ORD200334"/>
    <x v="7"/>
    <x v="1"/>
    <n v="1"/>
    <n v="55.03"/>
    <x v="10"/>
    <n v="55.03"/>
    <d v="2024-04-30T20:34:59"/>
    <x v="3"/>
    <s v="407223da-e08c-4d86-b241-7376d0255696"/>
  </r>
  <r>
    <s v="ORD200335"/>
    <x v="0"/>
    <x v="0"/>
    <n v="2"/>
    <n v="22.24"/>
    <x v="4"/>
    <n v="44.48"/>
    <d v="2024-11-01T20:34:59"/>
    <x v="0"/>
    <s v="c0c2b02d-41a4-4113-a249-39850bb5e816"/>
  </r>
  <r>
    <s v="ORD200336"/>
    <x v="9"/>
    <x v="2"/>
    <n v="4"/>
    <n v="50.22"/>
    <x v="2"/>
    <n v="200.88"/>
    <d v="2025-01-31T20:34:59"/>
    <x v="2"/>
    <s v="0005cb25-4286-463b-a039-cacb49c554e0"/>
  </r>
  <r>
    <s v="ORD200337"/>
    <x v="0"/>
    <x v="0"/>
    <n v="3"/>
    <n v="55.51"/>
    <x v="5"/>
    <n v="166.53"/>
    <d v="2025-02-12T20:34:59"/>
    <x v="2"/>
    <s v="fca4d82a-d249-4fa1-93fa-a01c48d8a441"/>
  </r>
  <r>
    <s v="ORD200338"/>
    <x v="11"/>
    <x v="1"/>
    <n v="5"/>
    <n v="49.08"/>
    <x v="10"/>
    <n v="245.39999999999998"/>
    <d v="2024-04-05T20:34:59"/>
    <x v="2"/>
    <s v="6d88368a-572c-49d0-92e4-cbccc86aab7c"/>
  </r>
  <r>
    <s v="ORD200339"/>
    <x v="7"/>
    <x v="1"/>
    <n v="2"/>
    <n v="19.350000000000001"/>
    <x v="4"/>
    <n v="38.700000000000003"/>
    <d v="2024-11-13T20:34:59"/>
    <x v="4"/>
    <s v="548f5a01-2f4d-462b-8f4b-580394123d75"/>
  </r>
  <r>
    <s v="ORD200340"/>
    <x v="0"/>
    <x v="0"/>
    <n v="3"/>
    <n v="27.65"/>
    <x v="1"/>
    <n v="82.949999999999989"/>
    <d v="2024-05-24T20:34:59"/>
    <x v="3"/>
    <s v="62050511-e244-426c-8956-7453ee56e8f4"/>
  </r>
  <r>
    <s v="ORD200341"/>
    <x v="6"/>
    <x v="1"/>
    <n v="5"/>
    <n v="16.12"/>
    <x v="5"/>
    <n v="80.600000000000009"/>
    <d v="2025-02-08T20:34:59"/>
    <x v="0"/>
    <s v="c87488ad-d69f-45b2-9239-c9d4ec8b1d23"/>
  </r>
  <r>
    <s v="ORD200342"/>
    <x v="8"/>
    <x v="0"/>
    <n v="5"/>
    <n v="36.53"/>
    <x v="1"/>
    <n v="182.65"/>
    <d v="2024-05-22T20:34:59"/>
    <x v="0"/>
    <s v="fa778fb8-fe3f-4874-91a7-3da62cfe3052"/>
  </r>
  <r>
    <s v="ORD200343"/>
    <x v="3"/>
    <x v="2"/>
    <n v="2"/>
    <n v="27.35"/>
    <x v="5"/>
    <n v="54.7"/>
    <d v="2025-02-03T20:34:59"/>
    <x v="1"/>
    <s v="8f7010b0-2876-4822-b154-b8c216bc9dfd"/>
  </r>
  <r>
    <s v="ORD200344"/>
    <x v="4"/>
    <x v="0"/>
    <n v="3"/>
    <n v="13.1"/>
    <x v="3"/>
    <n v="39.299999999999997"/>
    <d v="2024-07-02T20:34:59"/>
    <x v="3"/>
    <s v="cd3188eb-edb4-4ac7-a797-09923a9b3584"/>
  </r>
  <r>
    <s v="ORD200345"/>
    <x v="8"/>
    <x v="0"/>
    <n v="3"/>
    <n v="18.72"/>
    <x v="5"/>
    <n v="56.16"/>
    <d v="2025-02-23T20:34:59"/>
    <x v="2"/>
    <s v="7405f0df-3435-46d3-981c-00404e15dba6"/>
  </r>
  <r>
    <s v="ORD200346"/>
    <x v="11"/>
    <x v="1"/>
    <n v="3"/>
    <n v="20.34"/>
    <x v="6"/>
    <n v="61.019999999999996"/>
    <d v="2025-03-12T20:34:59"/>
    <x v="0"/>
    <s v="842e05a9-5007-432c-b624-430bc48a55a9"/>
  </r>
  <r>
    <s v="ORD200347"/>
    <x v="0"/>
    <x v="0"/>
    <n v="1"/>
    <n v="13.75"/>
    <x v="12"/>
    <n v="13.75"/>
    <d v="2025-04-02T20:34:59"/>
    <x v="4"/>
    <s v="5a33534c-9118-4cc0-a3d8-c7dd3432cc3d"/>
  </r>
  <r>
    <s v="ORD200348"/>
    <x v="7"/>
    <x v="1"/>
    <n v="5"/>
    <n v="20.149999999999999"/>
    <x v="8"/>
    <n v="100.75"/>
    <d v="2024-06-28T20:34:59"/>
    <x v="0"/>
    <s v="f86f3696-4b87-4fea-8bbd-f33d213d32ce"/>
  </r>
  <r>
    <s v="ORD200349"/>
    <x v="7"/>
    <x v="1"/>
    <n v="1"/>
    <n v="48.23"/>
    <x v="10"/>
    <n v="48.23"/>
    <d v="2024-04-20T20:34:59"/>
    <x v="1"/>
    <s v="a0a09cb4-312a-425b-869b-761da974630e"/>
  </r>
  <r>
    <s v="ORD200350"/>
    <x v="5"/>
    <x v="2"/>
    <n v="5"/>
    <n v="24.09"/>
    <x v="11"/>
    <n v="120.45"/>
    <d v="2024-12-29T20:34:59"/>
    <x v="4"/>
    <s v="1efa76a7-7179-4ea6-be4d-692f108379f1"/>
  </r>
  <r>
    <s v="ORD200351"/>
    <x v="10"/>
    <x v="0"/>
    <n v="3"/>
    <n v="32.090000000000003"/>
    <x v="11"/>
    <n v="96.27000000000001"/>
    <d v="2024-12-13T20:34:59"/>
    <x v="2"/>
    <s v="9505670a-6bf1-41b0-a9b4-49334607c266"/>
  </r>
  <r>
    <s v="ORD200352"/>
    <x v="4"/>
    <x v="0"/>
    <n v="2"/>
    <n v="55.52"/>
    <x v="5"/>
    <n v="111.04"/>
    <d v="2025-02-07T20:34:59"/>
    <x v="3"/>
    <s v="604a12f6-0748-46ff-95fb-d80ee0cbf865"/>
  </r>
  <r>
    <s v="ORD200353"/>
    <x v="6"/>
    <x v="1"/>
    <n v="5"/>
    <n v="33.340000000000003"/>
    <x v="4"/>
    <n v="166.70000000000002"/>
    <d v="2024-11-04T20:34:59"/>
    <x v="3"/>
    <s v="b7adb574-9a7e-46f0-ab83-8eacc113dbb4"/>
  </r>
  <r>
    <s v="ORD200354"/>
    <x v="0"/>
    <x v="0"/>
    <n v="5"/>
    <n v="37.33"/>
    <x v="1"/>
    <n v="186.64999999999998"/>
    <d v="2024-05-29T20:34:59"/>
    <x v="0"/>
    <s v="5d30df39-047d-4e0b-b0b6-4ef9beb53519"/>
  </r>
  <r>
    <s v="ORD200355"/>
    <x v="2"/>
    <x v="1"/>
    <n v="5"/>
    <n v="33.49"/>
    <x v="3"/>
    <n v="167.45000000000002"/>
    <d v="2024-07-30T20:34:59"/>
    <x v="2"/>
    <s v="fccdace8-813a-4c5f-a0f6-ba887db86fed"/>
  </r>
  <r>
    <s v="ORD200356"/>
    <x v="5"/>
    <x v="2"/>
    <n v="3"/>
    <n v="20.95"/>
    <x v="3"/>
    <n v="62.849999999999994"/>
    <d v="2024-07-21T20:34:59"/>
    <x v="2"/>
    <s v="35c087a2-7d07-4c33-b7af-4cf530170eb8"/>
  </r>
  <r>
    <s v="ORD200357"/>
    <x v="5"/>
    <x v="2"/>
    <n v="1"/>
    <n v="35.840000000000003"/>
    <x v="8"/>
    <n v="35.840000000000003"/>
    <d v="2024-06-17T20:34:59"/>
    <x v="3"/>
    <s v="e58d70ef-2594-4bef-a316-1928c046c462"/>
  </r>
  <r>
    <s v="ORD200358"/>
    <x v="3"/>
    <x v="2"/>
    <n v="3"/>
    <n v="23.81"/>
    <x v="5"/>
    <n v="71.429999999999993"/>
    <d v="2025-02-07T20:34:59"/>
    <x v="3"/>
    <s v="d123f272-7543-48af-9546-21cd16895266"/>
  </r>
  <r>
    <s v="ORD200359"/>
    <x v="11"/>
    <x v="1"/>
    <n v="2"/>
    <n v="25.86"/>
    <x v="11"/>
    <n v="51.72"/>
    <d v="2024-12-01T20:34:59"/>
    <x v="0"/>
    <s v="ebe4ab9b-9630-4cc7-9392-5a0b6610b7e0"/>
  </r>
  <r>
    <s v="ORD200360"/>
    <x v="11"/>
    <x v="1"/>
    <n v="4"/>
    <n v="56.92"/>
    <x v="9"/>
    <n v="227.68"/>
    <d v="2024-08-20T20:34:59"/>
    <x v="0"/>
    <s v="1c06f549-ba0a-40f0-9c6c-d87611a7ffda"/>
  </r>
  <r>
    <s v="ORD200361"/>
    <x v="4"/>
    <x v="0"/>
    <n v="2"/>
    <n v="45.52"/>
    <x v="9"/>
    <n v="91.04"/>
    <d v="2024-08-15T20:34:59"/>
    <x v="4"/>
    <s v="41563a96-18cf-41f8-8166-ace1a23a0e48"/>
  </r>
  <r>
    <s v="ORD200362"/>
    <x v="3"/>
    <x v="2"/>
    <n v="1"/>
    <n v="52.46"/>
    <x v="4"/>
    <n v="52.46"/>
    <d v="2024-11-01T20:34:59"/>
    <x v="2"/>
    <s v="55eb2af2-5c06-4230-889e-b8eddd7ea542"/>
  </r>
  <r>
    <s v="ORD200363"/>
    <x v="6"/>
    <x v="1"/>
    <n v="1"/>
    <n v="32.82"/>
    <x v="11"/>
    <n v="32.82"/>
    <d v="2024-12-14T20:34:59"/>
    <x v="1"/>
    <s v="5133490a-8b00-4e2d-9d64-dc5c94ea9e00"/>
  </r>
  <r>
    <s v="ORD200364"/>
    <x v="3"/>
    <x v="2"/>
    <n v="2"/>
    <n v="27.04"/>
    <x v="7"/>
    <n v="54.08"/>
    <d v="2024-10-05T20:34:59"/>
    <x v="2"/>
    <s v="f107574c-698b-44d5-a283-a122ac3a25e6"/>
  </r>
  <r>
    <s v="ORD200365"/>
    <x v="7"/>
    <x v="1"/>
    <n v="2"/>
    <n v="19.989999999999998"/>
    <x v="8"/>
    <n v="39.979999999999997"/>
    <d v="2024-06-20T20:34:59"/>
    <x v="4"/>
    <s v="5b443fc5-8123-4d58-9bc4-6987f417bfef"/>
  </r>
  <r>
    <s v="ORD200366"/>
    <x v="6"/>
    <x v="1"/>
    <n v="2"/>
    <n v="39.28"/>
    <x v="1"/>
    <n v="78.56"/>
    <d v="2024-05-24T20:34:59"/>
    <x v="4"/>
    <s v="8136aefe-c2d9-405a-b92a-fe3ed06ac75e"/>
  </r>
  <r>
    <s v="ORD200367"/>
    <x v="9"/>
    <x v="2"/>
    <n v="2"/>
    <n v="53.86"/>
    <x v="1"/>
    <n v="107.72"/>
    <d v="2024-05-05T20:34:59"/>
    <x v="3"/>
    <s v="da59da35-87ee-495a-9898-1a2247f05498"/>
  </r>
  <r>
    <s v="ORD200368"/>
    <x v="9"/>
    <x v="2"/>
    <n v="4"/>
    <n v="42.31"/>
    <x v="1"/>
    <n v="169.24"/>
    <d v="2024-05-14T20:34:59"/>
    <x v="3"/>
    <s v="4e399156-9f1d-4f59-86f7-3438c781e45d"/>
  </r>
  <r>
    <s v="ORD200369"/>
    <x v="6"/>
    <x v="1"/>
    <n v="3"/>
    <n v="58.78"/>
    <x v="0"/>
    <n v="176.34"/>
    <d v="2024-09-24T20:34:59"/>
    <x v="3"/>
    <s v="588b740a-3cca-4660-8bf3-a02d7cc472f3"/>
  </r>
  <r>
    <s v="ORD200370"/>
    <x v="3"/>
    <x v="2"/>
    <n v="5"/>
    <n v="51.65"/>
    <x v="9"/>
    <n v="258.25"/>
    <d v="2024-08-01T20:34:59"/>
    <x v="1"/>
    <s v="da6008b7-fb43-444a-9fa7-23b429e6d276"/>
  </r>
  <r>
    <s v="ORD200371"/>
    <x v="5"/>
    <x v="2"/>
    <n v="5"/>
    <n v="53.09"/>
    <x v="1"/>
    <n v="265.45000000000005"/>
    <d v="2024-05-01T20:34:59"/>
    <x v="4"/>
    <s v="25a09440-a05c-4b17-a2d3-d68cd2479dc7"/>
  </r>
  <r>
    <s v="ORD200372"/>
    <x v="4"/>
    <x v="0"/>
    <n v="1"/>
    <n v="28.71"/>
    <x v="5"/>
    <n v="28.71"/>
    <d v="2025-02-20T20:34:59"/>
    <x v="3"/>
    <s v="42486b8f-338e-43d9-bd5a-81b0b6462af1"/>
  </r>
  <r>
    <s v="ORD200373"/>
    <x v="0"/>
    <x v="0"/>
    <n v="3"/>
    <n v="27.3"/>
    <x v="0"/>
    <n v="81.900000000000006"/>
    <d v="2024-09-09T20:34:59"/>
    <x v="1"/>
    <s v="f22eeef5-a7eb-45f8-8712-cda6e076708f"/>
  </r>
  <r>
    <s v="ORD200374"/>
    <x v="4"/>
    <x v="0"/>
    <n v="5"/>
    <n v="17.010000000000002"/>
    <x v="0"/>
    <n v="85.050000000000011"/>
    <d v="2024-09-22T20:34:59"/>
    <x v="1"/>
    <s v="2a1cbbe4-8bd5-4e70-8632-ffcf1cf95853"/>
  </r>
  <r>
    <s v="ORD200375"/>
    <x v="1"/>
    <x v="1"/>
    <n v="5"/>
    <n v="58.77"/>
    <x v="1"/>
    <n v="293.85000000000002"/>
    <d v="2024-05-22T20:34:59"/>
    <x v="4"/>
    <s v="cccc6f96-9193-43c8-9428-1b55e8aba97d"/>
  </r>
  <r>
    <s v="ORD200376"/>
    <x v="10"/>
    <x v="0"/>
    <n v="4"/>
    <n v="32.18"/>
    <x v="5"/>
    <n v="128.72"/>
    <d v="2025-02-27T20:34:59"/>
    <x v="4"/>
    <s v="bc18ecd1-1460-4083-b5c9-28cbeb881a1f"/>
  </r>
  <r>
    <s v="ORD200377"/>
    <x v="3"/>
    <x v="2"/>
    <n v="5"/>
    <n v="17.649999999999999"/>
    <x v="8"/>
    <n v="88.25"/>
    <d v="2024-06-22T20:34:59"/>
    <x v="4"/>
    <s v="76ca6940-4390-4a2c-939b-b6c4ed1fd5cf"/>
  </r>
  <r>
    <s v="ORD200378"/>
    <x v="10"/>
    <x v="0"/>
    <n v="3"/>
    <n v="42.19"/>
    <x v="11"/>
    <n v="126.57"/>
    <d v="2024-12-14T20:34:59"/>
    <x v="2"/>
    <s v="4eec2c7f-994e-4fb1-90dc-dbc1c0a4815e"/>
  </r>
  <r>
    <s v="ORD200379"/>
    <x v="3"/>
    <x v="2"/>
    <n v="3"/>
    <n v="29.91"/>
    <x v="10"/>
    <n v="89.73"/>
    <d v="2024-04-13T20:34:59"/>
    <x v="4"/>
    <s v="fd8c5362-e8cf-4698-b751-37a249902fb1"/>
  </r>
  <r>
    <s v="ORD200380"/>
    <x v="10"/>
    <x v="0"/>
    <n v="3"/>
    <n v="10.07"/>
    <x v="7"/>
    <n v="30.21"/>
    <d v="2024-10-29T20:34:59"/>
    <x v="0"/>
    <s v="f6ca0663-1095-4a78-ba58-2383796447f0"/>
  </r>
  <r>
    <s v="ORD200381"/>
    <x v="10"/>
    <x v="0"/>
    <n v="4"/>
    <n v="50.46"/>
    <x v="1"/>
    <n v="201.84"/>
    <d v="2024-05-26T20:34:59"/>
    <x v="4"/>
    <s v="e1f170ca-2ab9-444c-a116-eaa0ea4b17f2"/>
  </r>
  <r>
    <s v="ORD200382"/>
    <x v="5"/>
    <x v="2"/>
    <n v="2"/>
    <n v="14.8"/>
    <x v="5"/>
    <n v="29.6"/>
    <d v="2025-02-25T20:34:59"/>
    <x v="3"/>
    <s v="e4e0cdf5-40fd-499e-8b8f-b3bc6ea62859"/>
  </r>
  <r>
    <s v="ORD200383"/>
    <x v="7"/>
    <x v="1"/>
    <n v="3"/>
    <n v="22.29"/>
    <x v="5"/>
    <n v="66.87"/>
    <d v="2025-02-16T20:34:59"/>
    <x v="1"/>
    <s v="b1753d96-8baf-4095-90c6-4a16f4dc3a5d"/>
  </r>
  <r>
    <s v="ORD200384"/>
    <x v="11"/>
    <x v="1"/>
    <n v="1"/>
    <n v="42.97"/>
    <x v="3"/>
    <n v="42.97"/>
    <d v="2024-07-21T20:34:59"/>
    <x v="0"/>
    <s v="8789d52d-971e-4e79-bcb9-c68a4315b178"/>
  </r>
  <r>
    <s v="ORD200385"/>
    <x v="3"/>
    <x v="2"/>
    <n v="5"/>
    <n v="33.869999999999997"/>
    <x v="7"/>
    <n v="169.35"/>
    <d v="2024-10-31T20:34:59"/>
    <x v="2"/>
    <s v="ef4d7ff7-421b-4c6f-8268-fe1f0c12a8f4"/>
  </r>
  <r>
    <s v="ORD200386"/>
    <x v="6"/>
    <x v="1"/>
    <n v="4"/>
    <n v="18.2"/>
    <x v="7"/>
    <n v="72.8"/>
    <d v="2024-10-05T20:34:59"/>
    <x v="2"/>
    <s v="7ed5bd05-b3b7-4502-87c8-f66712ab92f8"/>
  </r>
  <r>
    <s v="ORD200387"/>
    <x v="2"/>
    <x v="1"/>
    <n v="5"/>
    <n v="50.34"/>
    <x v="5"/>
    <n v="251.70000000000002"/>
    <d v="2025-02-18T20:34:59"/>
    <x v="4"/>
    <s v="b46fe0a7-3e92-40ad-907a-9ef310c41a34"/>
  </r>
  <r>
    <s v="ORD200388"/>
    <x v="5"/>
    <x v="2"/>
    <n v="2"/>
    <n v="55.5"/>
    <x v="11"/>
    <n v="111"/>
    <d v="2024-12-25T20:34:59"/>
    <x v="2"/>
    <s v="860a7fce-bd6a-439c-83c8-7364a046c22f"/>
  </r>
  <r>
    <s v="ORD200389"/>
    <x v="9"/>
    <x v="2"/>
    <n v="1"/>
    <n v="42.78"/>
    <x v="11"/>
    <n v="42.78"/>
    <d v="2024-12-03T20:34:59"/>
    <x v="0"/>
    <s v="23fa9a44-9968-410b-aff3-d158ebeaa38a"/>
  </r>
  <r>
    <s v="ORD200390"/>
    <x v="11"/>
    <x v="1"/>
    <n v="3"/>
    <n v="21.52"/>
    <x v="12"/>
    <n v="64.56"/>
    <d v="2025-04-03T20:34:59"/>
    <x v="4"/>
    <s v="7d4b0d0f-4fc3-4287-926c-5f4448192d45"/>
  </r>
  <r>
    <s v="ORD200391"/>
    <x v="1"/>
    <x v="1"/>
    <n v="3"/>
    <n v="20.32"/>
    <x v="5"/>
    <n v="60.96"/>
    <d v="2025-02-06T20:34:59"/>
    <x v="0"/>
    <s v="e91ad768-9f2c-450b-8078-67b54b577032"/>
  </r>
  <r>
    <s v="ORD200392"/>
    <x v="5"/>
    <x v="2"/>
    <n v="5"/>
    <n v="18.07"/>
    <x v="8"/>
    <n v="90.35"/>
    <d v="2024-06-07T20:34:59"/>
    <x v="0"/>
    <s v="4921c9b8-0b31-4042-b3bd-ad0dbbbf34e7"/>
  </r>
  <r>
    <s v="ORD200393"/>
    <x v="3"/>
    <x v="2"/>
    <n v="3"/>
    <n v="10.56"/>
    <x v="3"/>
    <n v="31.68"/>
    <d v="2024-07-10T20:34:59"/>
    <x v="3"/>
    <s v="5494993b-e8eb-4343-81f8-2b7b0fdbea21"/>
  </r>
  <r>
    <s v="ORD200394"/>
    <x v="10"/>
    <x v="0"/>
    <n v="1"/>
    <n v="30.63"/>
    <x v="4"/>
    <n v="30.63"/>
    <d v="2024-11-12T20:34:59"/>
    <x v="3"/>
    <s v="b1b9b4d0-2328-47ee-a0e7-f52f3c7093bc"/>
  </r>
  <r>
    <s v="ORD200395"/>
    <x v="11"/>
    <x v="1"/>
    <n v="3"/>
    <n v="55.44"/>
    <x v="10"/>
    <n v="166.32"/>
    <d v="2024-04-16T20:34:59"/>
    <x v="0"/>
    <s v="28d76f24-a748-49d1-a0f3-aee76d9d1785"/>
  </r>
  <r>
    <s v="ORD200396"/>
    <x v="11"/>
    <x v="1"/>
    <n v="2"/>
    <n v="17.64"/>
    <x v="8"/>
    <n v="35.28"/>
    <d v="2024-06-13T20:34:59"/>
    <x v="1"/>
    <s v="d3ef2639-bf8d-474b-abb6-222ebc3b810f"/>
  </r>
  <r>
    <s v="ORD200397"/>
    <x v="10"/>
    <x v="0"/>
    <n v="5"/>
    <n v="34.06"/>
    <x v="3"/>
    <n v="170.3"/>
    <d v="2024-07-19T20:34:59"/>
    <x v="3"/>
    <s v="bba149b8-022d-4a96-89ac-07d28cfca6c4"/>
  </r>
  <r>
    <s v="ORD200398"/>
    <x v="3"/>
    <x v="2"/>
    <n v="1"/>
    <n v="38.92"/>
    <x v="1"/>
    <n v="38.92"/>
    <d v="2024-05-26T20:34:59"/>
    <x v="4"/>
    <s v="d405e6d1-766d-446b-bbe5-851904997a31"/>
  </r>
  <r>
    <s v="ORD200399"/>
    <x v="5"/>
    <x v="2"/>
    <n v="1"/>
    <n v="15.64"/>
    <x v="1"/>
    <n v="15.64"/>
    <d v="2024-05-05T20:34:59"/>
    <x v="1"/>
    <s v="88cee133-ede0-4b43-9376-fd4473d5a962"/>
  </r>
  <r>
    <s v="ORD200400"/>
    <x v="1"/>
    <x v="1"/>
    <n v="5"/>
    <n v="10.24"/>
    <x v="5"/>
    <n v="51.2"/>
    <d v="2025-02-03T20:34:59"/>
    <x v="1"/>
    <s v="aac09eea-f76e-45e3-a5eb-cbfaba5fff3e"/>
  </r>
  <r>
    <s v="ORD200401"/>
    <x v="10"/>
    <x v="0"/>
    <n v="3"/>
    <n v="43.93"/>
    <x v="4"/>
    <n v="131.79"/>
    <d v="2024-11-30T20:34:59"/>
    <x v="2"/>
    <s v="29b0fef9-c3d0-4100-85c0-21c99c7a2c35"/>
  </r>
  <r>
    <s v="ORD200402"/>
    <x v="3"/>
    <x v="2"/>
    <n v="1"/>
    <n v="29.47"/>
    <x v="9"/>
    <n v="29.47"/>
    <d v="2024-08-07T20:34:59"/>
    <x v="1"/>
    <s v="ead7b756-0dca-42a6-b4e4-a0e1738a2330"/>
  </r>
  <r>
    <s v="ORD200403"/>
    <x v="9"/>
    <x v="2"/>
    <n v="4"/>
    <n v="20.62"/>
    <x v="2"/>
    <n v="82.48"/>
    <d v="2025-01-06T20:34:59"/>
    <x v="3"/>
    <s v="06dd8447-0fde-4a7f-8944-2c39fb7f8087"/>
  </r>
  <r>
    <s v="ORD200404"/>
    <x v="4"/>
    <x v="0"/>
    <n v="4"/>
    <n v="14.41"/>
    <x v="6"/>
    <n v="57.64"/>
    <d v="2025-03-16T20:34:59"/>
    <x v="2"/>
    <s v="31190f88-82ee-4fde-937f-0e80ee8fe0f3"/>
  </r>
  <r>
    <s v="ORD200405"/>
    <x v="0"/>
    <x v="0"/>
    <n v="2"/>
    <n v="55.91"/>
    <x v="2"/>
    <n v="111.82"/>
    <d v="2025-01-12T20:34:59"/>
    <x v="4"/>
    <s v="5ea2d0b6-3be7-4f7d-ba7f-cb68fd9efb3e"/>
  </r>
  <r>
    <s v="ORD200406"/>
    <x v="2"/>
    <x v="1"/>
    <n v="4"/>
    <n v="43.75"/>
    <x v="5"/>
    <n v="175"/>
    <d v="2025-02-05T20:34:59"/>
    <x v="3"/>
    <s v="214bdb71-38b3-41d1-b65b-14d40180b9c6"/>
  </r>
  <r>
    <s v="ORD200407"/>
    <x v="11"/>
    <x v="1"/>
    <n v="4"/>
    <n v="45.59"/>
    <x v="6"/>
    <n v="182.36"/>
    <d v="2025-03-26T20:34:59"/>
    <x v="3"/>
    <s v="1d360ce3-41b5-4fd4-977e-9a4ed1127805"/>
  </r>
  <r>
    <s v="ORD200408"/>
    <x v="5"/>
    <x v="2"/>
    <n v="4"/>
    <n v="50.6"/>
    <x v="5"/>
    <n v="202.4"/>
    <d v="2025-02-02T20:34:59"/>
    <x v="2"/>
    <s v="23120948-5be1-41b1-9a03-d8008b4546ba"/>
  </r>
  <r>
    <s v="ORD200409"/>
    <x v="10"/>
    <x v="0"/>
    <n v="4"/>
    <n v="54.86"/>
    <x v="9"/>
    <n v="219.44"/>
    <d v="2024-08-24T20:34:59"/>
    <x v="4"/>
    <s v="c94cfa21-2cfc-4fe1-83e6-1671f1396b6c"/>
  </r>
  <r>
    <s v="ORD200410"/>
    <x v="4"/>
    <x v="0"/>
    <n v="3"/>
    <n v="52.15"/>
    <x v="4"/>
    <n v="156.44999999999999"/>
    <d v="2024-11-09T20:34:59"/>
    <x v="4"/>
    <s v="24864c0e-f910-4ca0-bc3f-410cc6494b31"/>
  </r>
  <r>
    <s v="ORD200411"/>
    <x v="3"/>
    <x v="2"/>
    <n v="4"/>
    <n v="11.77"/>
    <x v="4"/>
    <n v="47.08"/>
    <d v="2024-11-07T20:34:59"/>
    <x v="0"/>
    <s v="3346072c-149b-4dac-9cf7-51ed848fd853"/>
  </r>
  <r>
    <s v="ORD200412"/>
    <x v="8"/>
    <x v="0"/>
    <n v="1"/>
    <n v="41.14"/>
    <x v="3"/>
    <n v="41.14"/>
    <d v="2024-07-16T20:34:59"/>
    <x v="3"/>
    <s v="d4bd746a-42e6-47f0-a023-eac69d4d251f"/>
  </r>
  <r>
    <s v="ORD200413"/>
    <x v="5"/>
    <x v="2"/>
    <n v="1"/>
    <n v="28.21"/>
    <x v="3"/>
    <n v="28.21"/>
    <d v="2024-07-11T20:34:59"/>
    <x v="2"/>
    <s v="68dd9fa0-b3e5-4015-95d8-0d2a5a07bbee"/>
  </r>
  <r>
    <s v="ORD200414"/>
    <x v="1"/>
    <x v="1"/>
    <n v="4"/>
    <n v="32.299999999999997"/>
    <x v="5"/>
    <n v="129.19999999999999"/>
    <d v="2025-02-08T20:34:59"/>
    <x v="1"/>
    <s v="dce539f9-8246-46bb-905f-5557d114cc28"/>
  </r>
  <r>
    <s v="ORD200415"/>
    <x v="1"/>
    <x v="1"/>
    <n v="3"/>
    <n v="14.67"/>
    <x v="3"/>
    <n v="44.01"/>
    <d v="2024-07-01T20:34:59"/>
    <x v="0"/>
    <s v="d9600641-3aba-4f2d-80e0-55cf71e0d16c"/>
  </r>
  <r>
    <s v="ORD200416"/>
    <x v="8"/>
    <x v="0"/>
    <n v="1"/>
    <n v="13.62"/>
    <x v="5"/>
    <n v="13.62"/>
    <d v="2025-02-17T20:34:59"/>
    <x v="4"/>
    <s v="d234be39-be43-4549-929c-9dd88d10266a"/>
  </r>
  <r>
    <s v="ORD200417"/>
    <x v="3"/>
    <x v="2"/>
    <n v="4"/>
    <n v="59.78"/>
    <x v="8"/>
    <n v="239.12"/>
    <d v="2024-06-06T20:34:59"/>
    <x v="2"/>
    <s v="ed88ce14-0eb0-4b34-8811-7ad8ca8f906c"/>
  </r>
  <r>
    <s v="ORD200418"/>
    <x v="9"/>
    <x v="2"/>
    <n v="1"/>
    <n v="34.520000000000003"/>
    <x v="4"/>
    <n v="34.520000000000003"/>
    <d v="2024-11-12T20:34:59"/>
    <x v="0"/>
    <s v="a8078652-05d7-4a48-bbf5-53b32b2706ee"/>
  </r>
  <r>
    <s v="ORD200419"/>
    <x v="9"/>
    <x v="2"/>
    <n v="2"/>
    <n v="47.04"/>
    <x v="12"/>
    <n v="94.08"/>
    <d v="2025-04-02T20:34:59"/>
    <x v="0"/>
    <s v="5bcbd1ea-bbb3-447b-92e3-e505bd74a45f"/>
  </r>
  <r>
    <s v="ORD200420"/>
    <x v="3"/>
    <x v="2"/>
    <n v="4"/>
    <n v="45.54"/>
    <x v="1"/>
    <n v="182.16"/>
    <d v="2024-05-27T20:34:59"/>
    <x v="4"/>
    <s v="dff4d066-9bdb-47e1-b03e-b3fb30e109ec"/>
  </r>
  <r>
    <s v="ORD200421"/>
    <x v="0"/>
    <x v="0"/>
    <n v="3"/>
    <n v="29.09"/>
    <x v="1"/>
    <n v="87.27"/>
    <d v="2024-05-13T20:34:59"/>
    <x v="0"/>
    <s v="b07e9c62-e0e4-4af0-8e5a-d12136aa2040"/>
  </r>
  <r>
    <s v="ORD200422"/>
    <x v="5"/>
    <x v="2"/>
    <n v="2"/>
    <n v="13.82"/>
    <x v="6"/>
    <n v="27.64"/>
    <d v="2025-03-02T20:34:59"/>
    <x v="2"/>
    <s v="7948108b-99c6-4938-9545-dcb6edbbfcd0"/>
  </r>
  <r>
    <s v="ORD200423"/>
    <x v="0"/>
    <x v="0"/>
    <n v="2"/>
    <n v="38.67"/>
    <x v="2"/>
    <n v="77.34"/>
    <d v="2025-01-26T20:34:59"/>
    <x v="4"/>
    <s v="d4b90c76-6214-47ce-9682-ae01d557c3ae"/>
  </r>
  <r>
    <s v="ORD200424"/>
    <x v="10"/>
    <x v="0"/>
    <n v="5"/>
    <n v="58.63"/>
    <x v="1"/>
    <n v="293.15000000000003"/>
    <d v="2024-05-15T20:34:59"/>
    <x v="0"/>
    <s v="c72bd011-0822-4059-a629-d3c5d8ee8791"/>
  </r>
  <r>
    <s v="ORD200425"/>
    <x v="7"/>
    <x v="1"/>
    <n v="1"/>
    <n v="59.02"/>
    <x v="11"/>
    <n v="59.02"/>
    <d v="2024-12-27T20:34:59"/>
    <x v="0"/>
    <s v="65be45ea-2f16-42a7-8e4b-a1d0ca0d493f"/>
  </r>
  <r>
    <s v="ORD200426"/>
    <x v="10"/>
    <x v="0"/>
    <n v="2"/>
    <n v="40.06"/>
    <x v="4"/>
    <n v="80.12"/>
    <d v="2024-11-01T20:34:59"/>
    <x v="4"/>
    <s v="927c3152-2450-4268-b8c8-fc81ca8aa03a"/>
  </r>
  <r>
    <s v="ORD200427"/>
    <x v="7"/>
    <x v="1"/>
    <n v="4"/>
    <n v="23.19"/>
    <x v="6"/>
    <n v="92.76"/>
    <d v="2025-03-11T20:34:59"/>
    <x v="4"/>
    <s v="8fe39e02-84d2-453e-a08d-d5cb686d01ec"/>
  </r>
  <r>
    <s v="ORD200428"/>
    <x v="5"/>
    <x v="2"/>
    <n v="1"/>
    <n v="13.54"/>
    <x v="5"/>
    <n v="13.54"/>
    <d v="2025-02-09T20:34:59"/>
    <x v="2"/>
    <s v="2d1cfc58-d09d-4d4e-8be2-3fe75e1fd1a7"/>
  </r>
  <r>
    <s v="ORD200429"/>
    <x v="6"/>
    <x v="1"/>
    <n v="5"/>
    <n v="28.33"/>
    <x v="7"/>
    <n v="141.64999999999998"/>
    <d v="2024-10-01T20:34:59"/>
    <x v="3"/>
    <s v="af02225d-7fcd-47b4-b42a-eb1a1638f965"/>
  </r>
  <r>
    <s v="ORD200430"/>
    <x v="8"/>
    <x v="0"/>
    <n v="1"/>
    <n v="29.52"/>
    <x v="5"/>
    <n v="29.52"/>
    <d v="2025-02-02T20:34:59"/>
    <x v="4"/>
    <s v="e7f162f3-9cae-47a4-a436-30b00c839786"/>
  </r>
  <r>
    <s v="ORD200431"/>
    <x v="1"/>
    <x v="1"/>
    <n v="2"/>
    <n v="39.29"/>
    <x v="7"/>
    <n v="78.58"/>
    <d v="2024-10-13T20:34:59"/>
    <x v="1"/>
    <s v="d41c7a9e-202f-47e4-9f77-3ac485c8eacd"/>
  </r>
  <r>
    <s v="ORD200432"/>
    <x v="9"/>
    <x v="2"/>
    <n v="4"/>
    <n v="40.44"/>
    <x v="8"/>
    <n v="161.76"/>
    <d v="2024-06-15T20:34:59"/>
    <x v="3"/>
    <s v="8a0d6350-159f-4530-a946-18e104e4095c"/>
  </r>
  <r>
    <s v="ORD200433"/>
    <x v="2"/>
    <x v="1"/>
    <n v="4"/>
    <n v="47.98"/>
    <x v="8"/>
    <n v="191.92"/>
    <d v="2024-06-18T20:34:59"/>
    <x v="4"/>
    <s v="17e69b00-7d1f-46c4-a131-54fbf63edc71"/>
  </r>
  <r>
    <s v="ORD200434"/>
    <x v="5"/>
    <x v="2"/>
    <n v="5"/>
    <n v="26.53"/>
    <x v="10"/>
    <n v="132.65"/>
    <d v="2024-04-22T20:34:59"/>
    <x v="4"/>
    <s v="767ee2d2-5901-4cd7-a88b-ac7487d00160"/>
  </r>
  <r>
    <s v="ORD200435"/>
    <x v="6"/>
    <x v="1"/>
    <n v="4"/>
    <n v="38.94"/>
    <x v="6"/>
    <n v="155.76"/>
    <d v="2025-03-21T20:34:59"/>
    <x v="0"/>
    <s v="6c2f9016-757d-482e-89f6-ddcca696d33e"/>
  </r>
  <r>
    <s v="ORD200436"/>
    <x v="1"/>
    <x v="1"/>
    <n v="1"/>
    <n v="34.56"/>
    <x v="1"/>
    <n v="34.56"/>
    <d v="2024-05-24T20:34:59"/>
    <x v="2"/>
    <s v="417fe01d-776e-498b-b77b-0ffaf2b393c7"/>
  </r>
  <r>
    <s v="ORD200437"/>
    <x v="4"/>
    <x v="0"/>
    <n v="3"/>
    <n v="16.97"/>
    <x v="7"/>
    <n v="50.91"/>
    <d v="2024-10-31T20:34:59"/>
    <x v="2"/>
    <s v="048149f8-b37b-4c9d-939e-1745b5a9a662"/>
  </r>
  <r>
    <s v="ORD200438"/>
    <x v="1"/>
    <x v="1"/>
    <n v="1"/>
    <n v="10.76"/>
    <x v="10"/>
    <n v="10.76"/>
    <d v="2024-04-12T20:34:59"/>
    <x v="3"/>
    <s v="d91a7191-dee4-4804-9463-2f87b9775aa2"/>
  </r>
  <r>
    <s v="ORD200439"/>
    <x v="5"/>
    <x v="2"/>
    <n v="1"/>
    <n v="33.67"/>
    <x v="5"/>
    <n v="33.67"/>
    <d v="2025-02-19T20:34:59"/>
    <x v="0"/>
    <s v="f118077a-ff2f-4b42-a4a7-40dd65b3618c"/>
  </r>
  <r>
    <s v="ORD200440"/>
    <x v="10"/>
    <x v="0"/>
    <n v="1"/>
    <n v="34.57"/>
    <x v="7"/>
    <n v="34.57"/>
    <d v="2024-10-23T20:34:59"/>
    <x v="2"/>
    <s v="30ccf811-ebe5-485f-b27f-9586de0b7fe6"/>
  </r>
  <r>
    <s v="ORD200441"/>
    <x v="8"/>
    <x v="0"/>
    <n v="3"/>
    <n v="11.81"/>
    <x v="0"/>
    <n v="35.43"/>
    <d v="2024-09-11T20:34:59"/>
    <x v="4"/>
    <s v="ae221044-59ef-4da6-8d93-43a63718ec78"/>
  </r>
  <r>
    <s v="ORD200442"/>
    <x v="3"/>
    <x v="2"/>
    <n v="5"/>
    <n v="59.89"/>
    <x v="2"/>
    <n v="299.45"/>
    <d v="2025-01-23T20:34:59"/>
    <x v="1"/>
    <s v="930e2897-a951-446e-aed4-42a6e4a19852"/>
  </r>
  <r>
    <s v="ORD200443"/>
    <x v="5"/>
    <x v="2"/>
    <n v="2"/>
    <n v="28.98"/>
    <x v="7"/>
    <n v="57.96"/>
    <d v="2024-10-25T20:34:59"/>
    <x v="2"/>
    <s v="8352a5a4-bc4a-4125-bfdd-00e45741c870"/>
  </r>
  <r>
    <s v="ORD200444"/>
    <x v="0"/>
    <x v="0"/>
    <n v="2"/>
    <n v="50.27"/>
    <x v="9"/>
    <n v="100.54"/>
    <d v="2024-08-30T20:34:59"/>
    <x v="3"/>
    <s v="ffdd4373-65ff-4a31-8aa0-47321b1d92c8"/>
  </r>
  <r>
    <s v="ORD200445"/>
    <x v="7"/>
    <x v="1"/>
    <n v="1"/>
    <n v="32.74"/>
    <x v="5"/>
    <n v="32.74"/>
    <d v="2025-02-16T20:34:59"/>
    <x v="1"/>
    <s v="8b9a0c27-69e3-4282-9e84-f140239db723"/>
  </r>
  <r>
    <s v="ORD200446"/>
    <x v="11"/>
    <x v="1"/>
    <n v="3"/>
    <n v="33.11"/>
    <x v="6"/>
    <n v="99.33"/>
    <d v="2025-03-17T20:34:59"/>
    <x v="3"/>
    <s v="1230d75b-b0a6-4bfa-a819-bd411fee2a90"/>
  </r>
  <r>
    <s v="ORD200447"/>
    <x v="5"/>
    <x v="2"/>
    <n v="2"/>
    <n v="19.79"/>
    <x v="8"/>
    <n v="39.58"/>
    <d v="2024-06-17T20:34:59"/>
    <x v="1"/>
    <s v="cb3c2b20-df2b-43c0-b907-ba517094b623"/>
  </r>
  <r>
    <s v="ORD200448"/>
    <x v="0"/>
    <x v="0"/>
    <n v="1"/>
    <n v="32.25"/>
    <x v="3"/>
    <n v="32.25"/>
    <d v="2024-07-05T20:34:59"/>
    <x v="0"/>
    <s v="8853222c-46d5-40e7-956c-ab758d838d3e"/>
  </r>
  <r>
    <s v="ORD200449"/>
    <x v="2"/>
    <x v="1"/>
    <n v="4"/>
    <n v="38.97"/>
    <x v="2"/>
    <n v="155.88"/>
    <d v="2025-01-21T20:34:59"/>
    <x v="3"/>
    <s v="a59bdea3-1bb7-4e1f-8e08-4d482614689c"/>
  </r>
  <r>
    <s v="ORD200450"/>
    <x v="10"/>
    <x v="0"/>
    <n v="5"/>
    <n v="21.18"/>
    <x v="5"/>
    <n v="105.9"/>
    <d v="2025-02-19T20:34:59"/>
    <x v="3"/>
    <s v="0883de8a-45cb-4d09-bc65-96fd0aa08b45"/>
  </r>
  <r>
    <s v="ORD200451"/>
    <x v="3"/>
    <x v="2"/>
    <n v="5"/>
    <n v="27.97"/>
    <x v="7"/>
    <n v="139.85"/>
    <d v="2024-10-08T20:34:59"/>
    <x v="4"/>
    <s v="cd057718-65ed-4faf-8c99-8da95ac5f7ae"/>
  </r>
  <r>
    <s v="ORD200452"/>
    <x v="10"/>
    <x v="0"/>
    <n v="5"/>
    <n v="34.61"/>
    <x v="3"/>
    <n v="173.05"/>
    <d v="2024-07-16T20:34:59"/>
    <x v="0"/>
    <s v="291bbf0a-86f6-4d66-9c20-bbba6dabcbb6"/>
  </r>
  <r>
    <s v="ORD200453"/>
    <x v="6"/>
    <x v="1"/>
    <n v="1"/>
    <n v="24.96"/>
    <x v="5"/>
    <n v="24.96"/>
    <d v="2025-02-22T20:34:59"/>
    <x v="4"/>
    <s v="a326e88a-4503-4f25-98cf-564597507425"/>
  </r>
  <r>
    <s v="ORD200454"/>
    <x v="5"/>
    <x v="2"/>
    <n v="1"/>
    <n v="19.39"/>
    <x v="4"/>
    <n v="19.39"/>
    <d v="2024-11-21T20:34:59"/>
    <x v="1"/>
    <s v="f793172a-6ed2-4f0d-b90b-dcda51538e67"/>
  </r>
  <r>
    <s v="ORD200455"/>
    <x v="1"/>
    <x v="1"/>
    <n v="4"/>
    <n v="30.8"/>
    <x v="11"/>
    <n v="123.2"/>
    <d v="2024-12-15T20:34:59"/>
    <x v="1"/>
    <s v="38b9f0d5-226b-4396-9fc0-0b41eaee58b9"/>
  </r>
  <r>
    <s v="ORD200456"/>
    <x v="10"/>
    <x v="0"/>
    <n v="4"/>
    <n v="45.84"/>
    <x v="3"/>
    <n v="183.36"/>
    <d v="2024-07-28T20:34:59"/>
    <x v="4"/>
    <s v="360139b0-a355-47fa-9e20-016ca0a5be6c"/>
  </r>
  <r>
    <s v="ORD200457"/>
    <x v="11"/>
    <x v="1"/>
    <n v="5"/>
    <n v="41.05"/>
    <x v="8"/>
    <n v="205.25"/>
    <d v="2024-06-23T20:34:59"/>
    <x v="3"/>
    <s v="a8f8a4ea-f7dc-449e-9dc5-16fe33ea71b4"/>
  </r>
  <r>
    <s v="ORD200458"/>
    <x v="9"/>
    <x v="2"/>
    <n v="4"/>
    <n v="59.43"/>
    <x v="11"/>
    <n v="237.72"/>
    <d v="2024-12-30T20:34:59"/>
    <x v="2"/>
    <s v="be20c28b-8f36-4781-95fd-146e903f7314"/>
  </r>
  <r>
    <s v="ORD200459"/>
    <x v="9"/>
    <x v="2"/>
    <n v="3"/>
    <n v="27.46"/>
    <x v="1"/>
    <n v="82.38"/>
    <d v="2024-05-06T20:34:59"/>
    <x v="1"/>
    <s v="4c499e95-82c3-4fe2-8051-7612927e9c33"/>
  </r>
  <r>
    <s v="ORD200460"/>
    <x v="11"/>
    <x v="1"/>
    <n v="3"/>
    <n v="10.51"/>
    <x v="8"/>
    <n v="31.53"/>
    <d v="2024-06-12T20:34:59"/>
    <x v="3"/>
    <s v="d0f8998b-38cf-49d9-bc84-ce9e0751016d"/>
  </r>
  <r>
    <s v="ORD200461"/>
    <x v="4"/>
    <x v="0"/>
    <n v="2"/>
    <n v="25.83"/>
    <x v="4"/>
    <n v="51.66"/>
    <d v="2024-11-17T20:34:59"/>
    <x v="4"/>
    <s v="28ced076-df8a-4b6f-947c-e9565433bee4"/>
  </r>
  <r>
    <s v="ORD200462"/>
    <x v="0"/>
    <x v="0"/>
    <n v="5"/>
    <n v="31.58"/>
    <x v="11"/>
    <n v="157.89999999999998"/>
    <d v="2024-12-25T20:34:59"/>
    <x v="4"/>
    <s v="e712fe74-cae4-427f-9986-86290444608e"/>
  </r>
  <r>
    <s v="ORD200463"/>
    <x v="6"/>
    <x v="1"/>
    <n v="3"/>
    <n v="47.02"/>
    <x v="8"/>
    <n v="141.06"/>
    <d v="2024-06-06T20:34:59"/>
    <x v="0"/>
    <s v="70d6cb77-d19a-441c-9090-e4dc85004e55"/>
  </r>
  <r>
    <s v="ORD200464"/>
    <x v="5"/>
    <x v="2"/>
    <n v="2"/>
    <n v="31.22"/>
    <x v="6"/>
    <n v="62.44"/>
    <d v="2025-03-27T20:34:59"/>
    <x v="4"/>
    <s v="3fa309e6-aedb-41a5-958d-e986ad881e36"/>
  </r>
  <r>
    <s v="ORD200465"/>
    <x v="1"/>
    <x v="1"/>
    <n v="4"/>
    <n v="40.71"/>
    <x v="11"/>
    <n v="162.84"/>
    <d v="2024-12-21T20:34:59"/>
    <x v="1"/>
    <s v="1f6312bc-aede-4116-9e77-f2927d3587da"/>
  </r>
  <r>
    <s v="ORD200466"/>
    <x v="7"/>
    <x v="1"/>
    <n v="2"/>
    <n v="21.34"/>
    <x v="0"/>
    <n v="42.68"/>
    <d v="2024-09-01T20:34:59"/>
    <x v="0"/>
    <s v="fdda3d4d-e419-465c-80e1-add33eaa5591"/>
  </r>
  <r>
    <s v="ORD200467"/>
    <x v="4"/>
    <x v="0"/>
    <n v="2"/>
    <n v="56.45"/>
    <x v="8"/>
    <n v="112.9"/>
    <d v="2024-06-07T20:34:59"/>
    <x v="3"/>
    <s v="cd1256aa-53cd-4d0f-8e94-89b9f00fdb32"/>
  </r>
  <r>
    <s v="ORD200468"/>
    <x v="7"/>
    <x v="1"/>
    <n v="5"/>
    <n v="57.83"/>
    <x v="5"/>
    <n v="289.14999999999998"/>
    <d v="2025-02-21T20:34:59"/>
    <x v="0"/>
    <s v="1df52526-f5a1-4bc6-9045-d25f092d051e"/>
  </r>
  <r>
    <s v="ORD200469"/>
    <x v="6"/>
    <x v="1"/>
    <n v="4"/>
    <n v="43.62"/>
    <x v="1"/>
    <n v="174.48"/>
    <d v="2024-05-19T20:34:59"/>
    <x v="1"/>
    <s v="2f5127ce-7e6e-4868-b967-a531084b87c3"/>
  </r>
  <r>
    <s v="ORD200470"/>
    <x v="6"/>
    <x v="1"/>
    <n v="5"/>
    <n v="26.01"/>
    <x v="2"/>
    <n v="130.05000000000001"/>
    <d v="2025-01-26T20:34:59"/>
    <x v="0"/>
    <s v="8244a835-bb73-40b5-93ad-f426939fd750"/>
  </r>
  <r>
    <s v="ORD200471"/>
    <x v="5"/>
    <x v="2"/>
    <n v="2"/>
    <n v="13.14"/>
    <x v="7"/>
    <n v="26.28"/>
    <d v="2024-10-26T20:34:59"/>
    <x v="1"/>
    <s v="bce193fb-4180-4c24-b7c3-914a21d904b9"/>
  </r>
  <r>
    <s v="ORD200472"/>
    <x v="9"/>
    <x v="2"/>
    <n v="2"/>
    <n v="52.01"/>
    <x v="7"/>
    <n v="104.02"/>
    <d v="2024-10-06T20:34:59"/>
    <x v="3"/>
    <s v="397312dd-a538-44ff-bdc7-55fec52223a4"/>
  </r>
  <r>
    <s v="ORD200473"/>
    <x v="2"/>
    <x v="1"/>
    <n v="3"/>
    <n v="37.06"/>
    <x v="10"/>
    <n v="111.18"/>
    <d v="2024-04-28T20:34:59"/>
    <x v="2"/>
    <s v="d233985e-cbd3-465d-8f9a-31bd59e3b8df"/>
  </r>
  <r>
    <s v="ORD200474"/>
    <x v="6"/>
    <x v="1"/>
    <n v="4"/>
    <n v="47.01"/>
    <x v="7"/>
    <n v="188.04"/>
    <d v="2024-10-23T20:34:59"/>
    <x v="1"/>
    <s v="f6cd61a8-56e6-4718-afcc-154de82a9268"/>
  </r>
  <r>
    <s v="ORD200475"/>
    <x v="3"/>
    <x v="2"/>
    <n v="5"/>
    <n v="23.12"/>
    <x v="0"/>
    <n v="115.60000000000001"/>
    <d v="2024-09-27T20:34:59"/>
    <x v="0"/>
    <s v="b11e5ae6-eb21-4c21-9060-c50e29b1fae8"/>
  </r>
  <r>
    <s v="ORD200476"/>
    <x v="9"/>
    <x v="2"/>
    <n v="4"/>
    <n v="11.68"/>
    <x v="4"/>
    <n v="46.72"/>
    <d v="2024-11-03T20:34:59"/>
    <x v="0"/>
    <s v="5d64e038-49b2-4212-b672-e3663707689b"/>
  </r>
  <r>
    <s v="ORD200477"/>
    <x v="8"/>
    <x v="0"/>
    <n v="3"/>
    <n v="47.51"/>
    <x v="8"/>
    <n v="142.53"/>
    <d v="2024-06-26T20:34:59"/>
    <x v="4"/>
    <s v="de31ecb8-028a-4c5e-b971-6e3264a086e3"/>
  </r>
  <r>
    <s v="ORD200478"/>
    <x v="1"/>
    <x v="1"/>
    <n v="5"/>
    <n v="11.68"/>
    <x v="3"/>
    <n v="58.4"/>
    <d v="2024-07-18T20:34:59"/>
    <x v="2"/>
    <s v="12ca39c1-0f61-406d-8f3c-1715eec9d1a1"/>
  </r>
  <r>
    <s v="ORD200479"/>
    <x v="4"/>
    <x v="0"/>
    <n v="3"/>
    <n v="12.18"/>
    <x v="9"/>
    <n v="36.54"/>
    <d v="2024-08-02T20:34:59"/>
    <x v="2"/>
    <s v="67918cec-816f-4850-bbbb-4b7f9d8128aa"/>
  </r>
  <r>
    <s v="ORD200480"/>
    <x v="4"/>
    <x v="0"/>
    <n v="2"/>
    <n v="56.98"/>
    <x v="4"/>
    <n v="113.96"/>
    <d v="2024-11-18T20:34:59"/>
    <x v="1"/>
    <s v="45ed822c-1a5e-4231-b199-123876c70846"/>
  </r>
  <r>
    <s v="ORD200481"/>
    <x v="9"/>
    <x v="2"/>
    <n v="4"/>
    <n v="33.01"/>
    <x v="2"/>
    <n v="132.04"/>
    <d v="2025-01-24T20:34:59"/>
    <x v="4"/>
    <s v="e3ec8f91-383e-406c-acf5-637161954e07"/>
  </r>
  <r>
    <s v="ORD200482"/>
    <x v="1"/>
    <x v="1"/>
    <n v="1"/>
    <n v="29.63"/>
    <x v="8"/>
    <n v="29.63"/>
    <d v="2024-06-27T20:34:59"/>
    <x v="3"/>
    <s v="8df501d8-f01b-472e-b173-cfd8dec0e65d"/>
  </r>
  <r>
    <s v="ORD200483"/>
    <x v="11"/>
    <x v="1"/>
    <n v="3"/>
    <n v="31.93"/>
    <x v="9"/>
    <n v="95.789999999999992"/>
    <d v="2024-08-13T20:34:59"/>
    <x v="4"/>
    <s v="3951bc99-cfff-485c-9c01-a9d485e989b8"/>
  </r>
  <r>
    <s v="ORD200484"/>
    <x v="11"/>
    <x v="1"/>
    <n v="1"/>
    <n v="36.07"/>
    <x v="11"/>
    <n v="36.07"/>
    <d v="2024-12-15T20:34:59"/>
    <x v="0"/>
    <s v="4b7e57f0-28fc-4c4a-8ef3-1b53d2cd458c"/>
  </r>
  <r>
    <s v="ORD200485"/>
    <x v="3"/>
    <x v="2"/>
    <n v="2"/>
    <n v="23.61"/>
    <x v="9"/>
    <n v="47.22"/>
    <d v="2024-08-29T20:34:59"/>
    <x v="1"/>
    <s v="9abb03eb-7b71-4bac-9ba4-6985386449c5"/>
  </r>
  <r>
    <s v="ORD200486"/>
    <x v="6"/>
    <x v="1"/>
    <n v="2"/>
    <n v="59.03"/>
    <x v="2"/>
    <n v="118.06"/>
    <d v="2025-01-21T20:34:59"/>
    <x v="4"/>
    <s v="7de2988c-1065-4115-931e-068448fb49e6"/>
  </r>
  <r>
    <s v="ORD200487"/>
    <x v="9"/>
    <x v="2"/>
    <n v="3"/>
    <n v="12.29"/>
    <x v="3"/>
    <n v="36.869999999999997"/>
    <d v="2024-07-02T20:34:59"/>
    <x v="3"/>
    <s v="5b6f8c2b-0a0d-4ce3-9112-b15c29a8afd8"/>
  </r>
  <r>
    <s v="ORD200488"/>
    <x v="5"/>
    <x v="2"/>
    <n v="3"/>
    <n v="59.38"/>
    <x v="10"/>
    <n v="178.14000000000001"/>
    <d v="2024-04-07T20:34:59"/>
    <x v="0"/>
    <s v="5734b672-e588-4f29-bdcc-0e897a7f9e64"/>
  </r>
  <r>
    <s v="ORD200489"/>
    <x v="8"/>
    <x v="0"/>
    <n v="4"/>
    <n v="55.94"/>
    <x v="0"/>
    <n v="223.76"/>
    <d v="2024-09-07T20:34:59"/>
    <x v="4"/>
    <s v="14515065-f527-41d2-9381-1f56d4eba08a"/>
  </r>
  <r>
    <s v="ORD200490"/>
    <x v="0"/>
    <x v="0"/>
    <n v="5"/>
    <n v="36.79"/>
    <x v="5"/>
    <n v="183.95"/>
    <d v="2025-02-27T20:34:59"/>
    <x v="1"/>
    <s v="f9c32210-112e-42d1-bc50-fd05b7e54274"/>
  </r>
  <r>
    <s v="ORD200491"/>
    <x v="5"/>
    <x v="2"/>
    <n v="2"/>
    <n v="57.33"/>
    <x v="1"/>
    <n v="114.66"/>
    <d v="2024-05-12T20:34:59"/>
    <x v="0"/>
    <s v="efd7b32f-05aa-4b69-87a7-1f43a9fa4963"/>
  </r>
  <r>
    <s v="ORD200492"/>
    <x v="9"/>
    <x v="2"/>
    <n v="3"/>
    <n v="43.55"/>
    <x v="0"/>
    <n v="130.64999999999998"/>
    <d v="2024-09-27T20:34:59"/>
    <x v="3"/>
    <s v="86aae83a-6081-4ae6-b275-93687dfb18ed"/>
  </r>
  <r>
    <s v="ORD200493"/>
    <x v="6"/>
    <x v="1"/>
    <n v="4"/>
    <n v="50.59"/>
    <x v="0"/>
    <n v="202.36"/>
    <d v="2024-09-07T20:34:59"/>
    <x v="3"/>
    <s v="aa77b4a6-7cda-497c-978b-dda2145e55c2"/>
  </r>
  <r>
    <s v="ORD200494"/>
    <x v="11"/>
    <x v="1"/>
    <n v="4"/>
    <n v="23.24"/>
    <x v="4"/>
    <n v="92.96"/>
    <d v="2024-11-11T20:34:59"/>
    <x v="0"/>
    <s v="78e05abf-c67f-47b3-9393-9e6aa254cc84"/>
  </r>
  <r>
    <s v="ORD200495"/>
    <x v="9"/>
    <x v="2"/>
    <n v="4"/>
    <n v="44.73"/>
    <x v="1"/>
    <n v="178.92"/>
    <d v="2024-05-29T20:34:59"/>
    <x v="4"/>
    <s v="3f3866de-7d10-42cb-9ccb-d73ac670daab"/>
  </r>
  <r>
    <s v="ORD200496"/>
    <x v="7"/>
    <x v="1"/>
    <n v="1"/>
    <n v="30.13"/>
    <x v="2"/>
    <n v="30.13"/>
    <d v="2025-01-20T20:34:59"/>
    <x v="4"/>
    <s v="1849287f-f02c-4dff-8522-25ffd14aa26c"/>
  </r>
  <r>
    <s v="ORD200497"/>
    <x v="1"/>
    <x v="1"/>
    <n v="5"/>
    <n v="11.59"/>
    <x v="2"/>
    <n v="57.95"/>
    <d v="2025-01-03T20:34:59"/>
    <x v="0"/>
    <s v="ec636b19-e47f-492c-b1a8-66cf1b8ad09f"/>
  </r>
  <r>
    <s v="ORD200498"/>
    <x v="0"/>
    <x v="0"/>
    <n v="1"/>
    <n v="29.11"/>
    <x v="9"/>
    <n v="29.11"/>
    <d v="2024-08-30T20:34:59"/>
    <x v="4"/>
    <s v="9b0e0a59-6ea0-41b6-8e2c-1f6b403478a1"/>
  </r>
  <r>
    <s v="ORD200499"/>
    <x v="5"/>
    <x v="2"/>
    <n v="2"/>
    <n v="44.69"/>
    <x v="4"/>
    <n v="89.38"/>
    <d v="2024-11-26T20:34:59"/>
    <x v="2"/>
    <s v="df59ea2e-1b20-4f63-b78f-e70623a4f338"/>
  </r>
  <r>
    <s v="ORD200500"/>
    <x v="9"/>
    <x v="2"/>
    <n v="2"/>
    <n v="43.85"/>
    <x v="3"/>
    <n v="87.7"/>
    <d v="2024-07-28T20:34:59"/>
    <x v="2"/>
    <s v="aa757243-a21e-4cad-984f-0d38b95c71f6"/>
  </r>
  <r>
    <s v="ORD200501"/>
    <x v="10"/>
    <x v="0"/>
    <n v="5"/>
    <n v="18.57"/>
    <x v="7"/>
    <n v="92.85"/>
    <d v="2024-10-06T20:34:59"/>
    <x v="4"/>
    <s v="0a208fc9-e298-474d-8e9a-e88719609c68"/>
  </r>
  <r>
    <s v="ORD200502"/>
    <x v="11"/>
    <x v="1"/>
    <n v="5"/>
    <n v="33.299999999999997"/>
    <x v="2"/>
    <n v="166.5"/>
    <d v="2025-01-13T20:34:59"/>
    <x v="0"/>
    <s v="4bcce609-6ae2-4be1-85f6-061881fcf15f"/>
  </r>
  <r>
    <s v="ORD200503"/>
    <x v="0"/>
    <x v="0"/>
    <n v="2"/>
    <n v="41.14"/>
    <x v="1"/>
    <n v="82.28"/>
    <d v="2024-05-10T20:34:59"/>
    <x v="3"/>
    <s v="c2bfd2e0-6d16-4f3b-bd41-0540a7084499"/>
  </r>
  <r>
    <s v="ORD200504"/>
    <x v="8"/>
    <x v="0"/>
    <n v="2"/>
    <n v="54.01"/>
    <x v="10"/>
    <n v="108.02"/>
    <d v="2024-04-21T20:34:59"/>
    <x v="3"/>
    <s v="4de83804-f0a0-40c1-8d02-c90f470af4f2"/>
  </r>
  <r>
    <s v="ORD200505"/>
    <x v="9"/>
    <x v="2"/>
    <n v="4"/>
    <n v="30.9"/>
    <x v="1"/>
    <n v="123.6"/>
    <d v="2024-05-01T20:34:59"/>
    <x v="2"/>
    <s v="b17c72a7-3b81-44df-91f6-1e6711d57546"/>
  </r>
  <r>
    <s v="ORD200506"/>
    <x v="7"/>
    <x v="1"/>
    <n v="4"/>
    <n v="28.97"/>
    <x v="7"/>
    <n v="115.88"/>
    <d v="2024-10-20T20:34:59"/>
    <x v="1"/>
    <s v="807a19c0-c16a-4b53-a01f-0d89e50bf1d6"/>
  </r>
  <r>
    <s v="ORD200507"/>
    <x v="5"/>
    <x v="2"/>
    <n v="2"/>
    <n v="53.91"/>
    <x v="6"/>
    <n v="107.82"/>
    <d v="2025-03-07T20:34:59"/>
    <x v="0"/>
    <s v="22453c65-a4d6-4133-9a00-f65d9ae2db73"/>
  </r>
  <r>
    <s v="ORD200508"/>
    <x v="1"/>
    <x v="1"/>
    <n v="4"/>
    <n v="51.44"/>
    <x v="1"/>
    <n v="205.76"/>
    <d v="2024-05-23T20:34:59"/>
    <x v="0"/>
    <s v="e8ac630f-4e04-4ee3-9178-405c6fda27c1"/>
  </r>
  <r>
    <s v="ORD200509"/>
    <x v="8"/>
    <x v="0"/>
    <n v="3"/>
    <n v="44.7"/>
    <x v="2"/>
    <n v="134.10000000000002"/>
    <d v="2025-01-02T20:34:59"/>
    <x v="2"/>
    <s v="de3dc624-db15-4f4f-9110-a96884486e86"/>
  </r>
  <r>
    <s v="ORD200510"/>
    <x v="7"/>
    <x v="1"/>
    <n v="1"/>
    <n v="20.81"/>
    <x v="3"/>
    <n v="20.81"/>
    <d v="2024-07-14T20:34:59"/>
    <x v="2"/>
    <s v="63ffba4d-5491-4c1d-b112-c8abfdaebe3e"/>
  </r>
  <r>
    <s v="ORD200511"/>
    <x v="11"/>
    <x v="1"/>
    <n v="3"/>
    <n v="45.94"/>
    <x v="2"/>
    <n v="137.82"/>
    <d v="2025-01-19T20:34:59"/>
    <x v="2"/>
    <s v="e248d68e-1d26-45e3-a3f9-0e0f146a66d1"/>
  </r>
  <r>
    <s v="ORD200512"/>
    <x v="11"/>
    <x v="1"/>
    <n v="5"/>
    <n v="15.23"/>
    <x v="9"/>
    <n v="76.150000000000006"/>
    <d v="2024-08-24T20:34:59"/>
    <x v="4"/>
    <s v="876af166-d798-4fbd-a31c-a6f256c2d40e"/>
  </r>
  <r>
    <s v="ORD200513"/>
    <x v="3"/>
    <x v="2"/>
    <n v="3"/>
    <n v="13.4"/>
    <x v="6"/>
    <n v="40.200000000000003"/>
    <d v="2025-03-05T20:34:59"/>
    <x v="0"/>
    <s v="2a107861-e7e4-480f-8960-01fb77027a92"/>
  </r>
  <r>
    <s v="ORD200514"/>
    <x v="9"/>
    <x v="2"/>
    <n v="2"/>
    <n v="47.84"/>
    <x v="5"/>
    <n v="95.68"/>
    <d v="2025-02-23T20:34:59"/>
    <x v="4"/>
    <s v="9e83ebc0-d195-452c-8417-5a1a51db02b7"/>
  </r>
  <r>
    <s v="ORD200515"/>
    <x v="0"/>
    <x v="0"/>
    <n v="4"/>
    <n v="12.63"/>
    <x v="4"/>
    <n v="50.52"/>
    <d v="2024-11-20T20:34:59"/>
    <x v="4"/>
    <s v="8ae4fe45-8c2d-4b70-bc6c-2f320050dafb"/>
  </r>
  <r>
    <s v="ORD200516"/>
    <x v="8"/>
    <x v="0"/>
    <n v="4"/>
    <n v="40.9"/>
    <x v="3"/>
    <n v="163.6"/>
    <d v="2024-07-08T20:34:59"/>
    <x v="3"/>
    <s v="fa22c99b-94fa-419d-a89f-7385fdd382cd"/>
  </r>
  <r>
    <s v="ORD200517"/>
    <x v="11"/>
    <x v="1"/>
    <n v="3"/>
    <n v="11.34"/>
    <x v="4"/>
    <n v="34.019999999999996"/>
    <d v="2024-11-06T20:34:59"/>
    <x v="2"/>
    <s v="2839cda8-30b9-443a-aaf7-433bc33e4e65"/>
  </r>
  <r>
    <s v="ORD200518"/>
    <x v="5"/>
    <x v="2"/>
    <n v="5"/>
    <n v="32.19"/>
    <x v="9"/>
    <n v="160.94999999999999"/>
    <d v="2024-08-18T20:34:59"/>
    <x v="1"/>
    <s v="b6d75d37-d01e-44cf-aea2-5cb485e1b0d4"/>
  </r>
  <r>
    <s v="ORD200519"/>
    <x v="1"/>
    <x v="1"/>
    <n v="3"/>
    <n v="59.48"/>
    <x v="5"/>
    <n v="178.44"/>
    <d v="2025-02-15T20:34:59"/>
    <x v="2"/>
    <s v="8ba77288-8ec7-4e6b-a1f0-4ac5258048a3"/>
  </r>
  <r>
    <s v="ORD200520"/>
    <x v="1"/>
    <x v="1"/>
    <n v="5"/>
    <n v="50.95"/>
    <x v="11"/>
    <n v="254.75"/>
    <d v="2024-12-17T20:34:59"/>
    <x v="0"/>
    <s v="b7c43419-75d6-4ef1-8e0f-e42bb00348b9"/>
  </r>
  <r>
    <s v="ORD200521"/>
    <x v="8"/>
    <x v="0"/>
    <n v="5"/>
    <n v="25.59"/>
    <x v="2"/>
    <n v="127.95"/>
    <d v="2025-01-03T20:34:59"/>
    <x v="4"/>
    <s v="8b2e47b7-280e-4d87-b773-600e7838a8d0"/>
  </r>
  <r>
    <s v="ORD200522"/>
    <x v="11"/>
    <x v="1"/>
    <n v="3"/>
    <n v="38.17"/>
    <x v="0"/>
    <n v="114.51"/>
    <d v="2024-09-24T20:34:59"/>
    <x v="1"/>
    <s v="4dd4e7b5-b1a1-47dc-8ea3-107f7c578720"/>
  </r>
  <r>
    <s v="ORD200523"/>
    <x v="1"/>
    <x v="1"/>
    <n v="3"/>
    <n v="15.94"/>
    <x v="10"/>
    <n v="47.82"/>
    <d v="2024-04-20T20:34:59"/>
    <x v="2"/>
    <s v="34da4d99-c9a4-4ec3-ab44-599b15314aec"/>
  </r>
  <r>
    <s v="ORD200524"/>
    <x v="11"/>
    <x v="1"/>
    <n v="3"/>
    <n v="12.66"/>
    <x v="3"/>
    <n v="37.980000000000004"/>
    <d v="2024-07-07T20:34:59"/>
    <x v="1"/>
    <s v="79b28a11-cd8d-46a8-8114-38761cd9a3e1"/>
  </r>
  <r>
    <s v="ORD200525"/>
    <x v="4"/>
    <x v="0"/>
    <n v="1"/>
    <n v="33.07"/>
    <x v="9"/>
    <n v="33.07"/>
    <d v="2024-08-06T20:34:59"/>
    <x v="0"/>
    <s v="a1cc352c-ac28-4045-841a-1f81cba7ecc6"/>
  </r>
  <r>
    <s v="ORD200526"/>
    <x v="3"/>
    <x v="2"/>
    <n v="2"/>
    <n v="39.97"/>
    <x v="6"/>
    <n v="79.94"/>
    <d v="2025-03-16T20:34:59"/>
    <x v="3"/>
    <s v="0c5b718a-20ad-47af-b1ae-871cacb6ea62"/>
  </r>
  <r>
    <s v="ORD200527"/>
    <x v="4"/>
    <x v="0"/>
    <n v="1"/>
    <n v="35.880000000000003"/>
    <x v="11"/>
    <n v="35.880000000000003"/>
    <d v="2024-12-04T20:34:59"/>
    <x v="3"/>
    <s v="3bed8ccd-ce29-48f3-b2f2-d61c627a234f"/>
  </r>
  <r>
    <s v="ORD200528"/>
    <x v="9"/>
    <x v="2"/>
    <n v="5"/>
    <n v="40.97"/>
    <x v="9"/>
    <n v="204.85"/>
    <d v="2024-08-02T20:34:59"/>
    <x v="0"/>
    <s v="9968e136-0d55-4211-8b1e-08d7f0222308"/>
  </r>
  <r>
    <s v="ORD200529"/>
    <x v="0"/>
    <x v="0"/>
    <n v="1"/>
    <n v="34.61"/>
    <x v="7"/>
    <n v="34.61"/>
    <d v="2024-10-04T20:34:59"/>
    <x v="1"/>
    <s v="c3039dd8-9c91-4f1a-bd17-14751f2be6bd"/>
  </r>
  <r>
    <s v="ORD200530"/>
    <x v="9"/>
    <x v="2"/>
    <n v="2"/>
    <n v="15.42"/>
    <x v="8"/>
    <n v="30.84"/>
    <d v="2024-06-12T20:34:59"/>
    <x v="2"/>
    <s v="4c15d245-9ed2-4e5e-8a32-e127b56158e2"/>
  </r>
  <r>
    <s v="ORD200531"/>
    <x v="9"/>
    <x v="2"/>
    <n v="1"/>
    <n v="54.08"/>
    <x v="5"/>
    <n v="54.08"/>
    <d v="2025-02-09T20:34:59"/>
    <x v="2"/>
    <s v="0f50fe6e-c698-4aaf-8f11-cefa2b873eb0"/>
  </r>
  <r>
    <s v="ORD200532"/>
    <x v="3"/>
    <x v="2"/>
    <n v="4"/>
    <n v="59.02"/>
    <x v="11"/>
    <n v="236.08"/>
    <d v="2024-12-09T20:34:59"/>
    <x v="2"/>
    <s v="0a02b09e-034f-4259-aef2-26117d37dd8e"/>
  </r>
  <r>
    <s v="ORD200533"/>
    <x v="1"/>
    <x v="1"/>
    <n v="3"/>
    <n v="50.69"/>
    <x v="7"/>
    <n v="152.07"/>
    <d v="2024-10-15T20:34:59"/>
    <x v="3"/>
    <s v="591079bd-f6e5-4c21-b840-5b0ab55f323c"/>
  </r>
  <r>
    <s v="ORD200534"/>
    <x v="9"/>
    <x v="2"/>
    <n v="4"/>
    <n v="32.83"/>
    <x v="1"/>
    <n v="131.32"/>
    <d v="2024-05-27T20:34:59"/>
    <x v="2"/>
    <s v="05b9759e-e3e3-4867-9048-c1d6f3cf9baf"/>
  </r>
  <r>
    <s v="ORD200535"/>
    <x v="0"/>
    <x v="0"/>
    <n v="2"/>
    <n v="48.89"/>
    <x v="5"/>
    <n v="97.78"/>
    <d v="2025-02-01T20:34:59"/>
    <x v="1"/>
    <s v="90094f5c-f20e-47b0-a8dc-1f17e1db8417"/>
  </r>
  <r>
    <s v="ORD200536"/>
    <x v="11"/>
    <x v="1"/>
    <n v="1"/>
    <n v="12.99"/>
    <x v="0"/>
    <n v="12.99"/>
    <d v="2024-09-20T20:34:59"/>
    <x v="3"/>
    <s v="f668e6dd-3f5a-4376-9c22-056d0f1ff8d5"/>
  </r>
  <r>
    <s v="ORD200537"/>
    <x v="10"/>
    <x v="0"/>
    <n v="1"/>
    <n v="30.43"/>
    <x v="3"/>
    <n v="30.43"/>
    <d v="2024-07-12T20:34:59"/>
    <x v="0"/>
    <s v="9fedc128-5ee5-487c-9c70-444b4c837d4c"/>
  </r>
  <r>
    <s v="ORD200538"/>
    <x v="11"/>
    <x v="1"/>
    <n v="3"/>
    <n v="29.86"/>
    <x v="7"/>
    <n v="89.58"/>
    <d v="2024-10-16T20:34:59"/>
    <x v="3"/>
    <s v="a679760f-781a-4703-be62-856bdb580ebc"/>
  </r>
  <r>
    <s v="ORD200539"/>
    <x v="6"/>
    <x v="1"/>
    <n v="3"/>
    <n v="53.7"/>
    <x v="4"/>
    <n v="161.10000000000002"/>
    <d v="2024-11-27T20:34:59"/>
    <x v="3"/>
    <s v="986e1347-05b0-4ea5-a131-b7dbeb4c1acd"/>
  </r>
  <r>
    <s v="ORD200540"/>
    <x v="7"/>
    <x v="1"/>
    <n v="3"/>
    <n v="37.82"/>
    <x v="10"/>
    <n v="113.46000000000001"/>
    <d v="2024-04-23T20:34:59"/>
    <x v="3"/>
    <s v="615a4091-bfc4-469b-bb8f-3d1f6f5618d3"/>
  </r>
  <r>
    <s v="ORD200541"/>
    <x v="0"/>
    <x v="0"/>
    <n v="4"/>
    <n v="19.36"/>
    <x v="8"/>
    <n v="77.44"/>
    <d v="2024-06-19T20:34:59"/>
    <x v="3"/>
    <s v="ffdda782-475e-4aa3-b1fc-897774dc43da"/>
  </r>
  <r>
    <s v="ORD200542"/>
    <x v="11"/>
    <x v="1"/>
    <n v="4"/>
    <n v="15.27"/>
    <x v="2"/>
    <n v="61.08"/>
    <d v="2025-01-21T20:34:59"/>
    <x v="4"/>
    <s v="ac1d8bd4-2cc5-432c-a7f6-54f390ca909d"/>
  </r>
  <r>
    <s v="ORD200543"/>
    <x v="1"/>
    <x v="1"/>
    <n v="1"/>
    <n v="40.78"/>
    <x v="11"/>
    <n v="40.78"/>
    <d v="2024-12-29T20:34:59"/>
    <x v="1"/>
    <s v="3474d030-6ec5-42d2-bf8e-ad2b1da8411f"/>
  </r>
  <r>
    <s v="ORD200544"/>
    <x v="11"/>
    <x v="1"/>
    <n v="4"/>
    <n v="26.73"/>
    <x v="9"/>
    <n v="106.92"/>
    <d v="2024-08-31T20:34:59"/>
    <x v="2"/>
    <s v="76248dca-be6e-4e04-b7c4-193b8c93e277"/>
  </r>
  <r>
    <s v="ORD200545"/>
    <x v="3"/>
    <x v="2"/>
    <n v="1"/>
    <n v="33.409999999999997"/>
    <x v="1"/>
    <n v="33.409999999999997"/>
    <d v="2024-05-25T20:34:59"/>
    <x v="0"/>
    <s v="55b56fbc-031d-46a5-9520-c4eb4d2113a9"/>
  </r>
  <r>
    <s v="ORD200546"/>
    <x v="0"/>
    <x v="0"/>
    <n v="1"/>
    <n v="24.16"/>
    <x v="1"/>
    <n v="24.16"/>
    <d v="2024-05-21T20:34:59"/>
    <x v="4"/>
    <s v="fb202cbf-7569-4445-a61b-886661c06be9"/>
  </r>
  <r>
    <s v="ORD200547"/>
    <x v="9"/>
    <x v="2"/>
    <n v="1"/>
    <n v="14.61"/>
    <x v="9"/>
    <n v="14.61"/>
    <d v="2024-08-29T20:34:59"/>
    <x v="0"/>
    <s v="0f38389e-cb2a-44f4-af27-697a338340ad"/>
  </r>
  <r>
    <s v="ORD200548"/>
    <x v="0"/>
    <x v="0"/>
    <n v="4"/>
    <n v="25.6"/>
    <x v="6"/>
    <n v="102.4"/>
    <d v="2025-03-14T20:34:59"/>
    <x v="0"/>
    <s v="cfc19548-a049-4130-a7fc-967273be777d"/>
  </r>
  <r>
    <s v="ORD200549"/>
    <x v="8"/>
    <x v="0"/>
    <n v="2"/>
    <n v="47.48"/>
    <x v="2"/>
    <n v="94.96"/>
    <d v="2025-01-31T20:34:59"/>
    <x v="1"/>
    <s v="35ebeeb6-1110-4b12-98d5-99467f0d31bd"/>
  </r>
  <r>
    <s v="ORD200550"/>
    <x v="0"/>
    <x v="0"/>
    <n v="4"/>
    <n v="59.21"/>
    <x v="6"/>
    <n v="236.84"/>
    <d v="2025-03-28T20:34:59"/>
    <x v="2"/>
    <s v="48e848da-22f4-4759-a6ea-d42beb0f5988"/>
  </r>
  <r>
    <s v="ORD200551"/>
    <x v="9"/>
    <x v="2"/>
    <n v="5"/>
    <n v="35.93"/>
    <x v="3"/>
    <n v="179.65"/>
    <d v="2024-07-23T20:34:59"/>
    <x v="0"/>
    <s v="93d73882-0707-438e-9db3-698176b9b5c4"/>
  </r>
  <r>
    <s v="ORD200552"/>
    <x v="0"/>
    <x v="0"/>
    <n v="2"/>
    <n v="15.18"/>
    <x v="3"/>
    <n v="30.36"/>
    <d v="2024-07-09T20:34:59"/>
    <x v="3"/>
    <s v="c7e76cb3-1f3f-473e-b3ec-fd20c56d38bb"/>
  </r>
  <r>
    <s v="ORD200553"/>
    <x v="5"/>
    <x v="2"/>
    <n v="3"/>
    <n v="28.58"/>
    <x v="1"/>
    <n v="85.74"/>
    <d v="2024-05-29T20:34:59"/>
    <x v="4"/>
    <s v="e6813796-338d-4526-b605-143b3bd044df"/>
  </r>
  <r>
    <s v="ORD200554"/>
    <x v="10"/>
    <x v="0"/>
    <n v="2"/>
    <n v="56.73"/>
    <x v="4"/>
    <n v="113.46"/>
    <d v="2024-11-05T20:34:59"/>
    <x v="0"/>
    <s v="2e04296f-11f2-4cdc-99f0-63fef0df0e2b"/>
  </r>
  <r>
    <s v="ORD200555"/>
    <x v="11"/>
    <x v="1"/>
    <n v="3"/>
    <n v="25.84"/>
    <x v="8"/>
    <n v="77.52"/>
    <d v="2024-06-27T20:34:59"/>
    <x v="0"/>
    <s v="f68cb3af-c646-49c2-991c-8084b60129ec"/>
  </r>
  <r>
    <s v="ORD200556"/>
    <x v="9"/>
    <x v="2"/>
    <n v="2"/>
    <n v="48.85"/>
    <x v="10"/>
    <n v="97.7"/>
    <d v="2024-04-12T20:34:59"/>
    <x v="3"/>
    <s v="bd24c8f4-65c2-4f6c-bd39-d6f93ff21459"/>
  </r>
  <r>
    <s v="ORD200557"/>
    <x v="10"/>
    <x v="0"/>
    <n v="3"/>
    <n v="54.4"/>
    <x v="5"/>
    <n v="163.19999999999999"/>
    <d v="2025-02-12T20:34:59"/>
    <x v="0"/>
    <s v="9753d48d-f2b8-4b7a-bdf3-eeaccb14e8bb"/>
  </r>
  <r>
    <s v="ORD200558"/>
    <x v="3"/>
    <x v="2"/>
    <n v="1"/>
    <n v="31.44"/>
    <x v="5"/>
    <n v="31.44"/>
    <d v="2025-02-13T20:34:59"/>
    <x v="1"/>
    <s v="2fed11f7-9189-4712-9ad0-94b5cd691fde"/>
  </r>
  <r>
    <s v="ORD200559"/>
    <x v="3"/>
    <x v="2"/>
    <n v="3"/>
    <n v="15.73"/>
    <x v="1"/>
    <n v="47.19"/>
    <d v="2024-05-13T20:34:59"/>
    <x v="4"/>
    <s v="506615a3-23be-42ed-b600-0554fc562f44"/>
  </r>
  <r>
    <s v="ORD200560"/>
    <x v="3"/>
    <x v="2"/>
    <n v="3"/>
    <n v="35.79"/>
    <x v="2"/>
    <n v="107.37"/>
    <d v="2025-01-10T20:34:59"/>
    <x v="4"/>
    <s v="9bfe40ea-dfd5-4094-ae45-145439b679db"/>
  </r>
  <r>
    <s v="ORD200561"/>
    <x v="4"/>
    <x v="0"/>
    <n v="5"/>
    <n v="25.69"/>
    <x v="4"/>
    <n v="128.45000000000002"/>
    <d v="2024-11-04T20:34:59"/>
    <x v="1"/>
    <s v="e8467e71-5544-4820-9ada-039df37f94e2"/>
  </r>
  <r>
    <s v="ORD200562"/>
    <x v="9"/>
    <x v="2"/>
    <n v="4"/>
    <n v="25.77"/>
    <x v="11"/>
    <n v="103.08"/>
    <d v="2024-12-16T20:34:59"/>
    <x v="2"/>
    <s v="d008eaf6-4739-4e67-a7e8-a4321119da7d"/>
  </r>
  <r>
    <s v="ORD200563"/>
    <x v="4"/>
    <x v="0"/>
    <n v="2"/>
    <n v="31.43"/>
    <x v="3"/>
    <n v="62.86"/>
    <d v="2024-07-23T20:34:59"/>
    <x v="2"/>
    <s v="dd00407e-fd1a-4acf-b239-e95289263c4f"/>
  </r>
  <r>
    <s v="ORD200564"/>
    <x v="11"/>
    <x v="1"/>
    <n v="5"/>
    <n v="25.37"/>
    <x v="4"/>
    <n v="126.85000000000001"/>
    <d v="2024-11-27T20:34:59"/>
    <x v="1"/>
    <s v="e51ee661-3cea-4f41-a60e-3a61ba83093d"/>
  </r>
  <r>
    <s v="ORD200565"/>
    <x v="3"/>
    <x v="2"/>
    <n v="3"/>
    <n v="45.06"/>
    <x v="8"/>
    <n v="135.18"/>
    <d v="2024-06-19T20:34:59"/>
    <x v="3"/>
    <s v="7c1ee502-8674-4000-823f-f20216334aca"/>
  </r>
  <r>
    <s v="ORD200566"/>
    <x v="7"/>
    <x v="1"/>
    <n v="1"/>
    <n v="39.119999999999997"/>
    <x v="1"/>
    <n v="39.119999999999997"/>
    <d v="2024-05-25T20:34:59"/>
    <x v="1"/>
    <s v="f1c8c8d6-8428-4ebf-871b-257733cd3e1e"/>
  </r>
  <r>
    <s v="ORD200567"/>
    <x v="7"/>
    <x v="1"/>
    <n v="1"/>
    <n v="39.79"/>
    <x v="8"/>
    <n v="39.79"/>
    <d v="2024-06-24T20:34:59"/>
    <x v="4"/>
    <s v="3a522830-d7fb-4ff2-8626-04752acd4134"/>
  </r>
  <r>
    <s v="ORD200568"/>
    <x v="1"/>
    <x v="1"/>
    <n v="3"/>
    <n v="23.88"/>
    <x v="10"/>
    <n v="71.64"/>
    <d v="2024-04-26T20:34:59"/>
    <x v="3"/>
    <s v="5c3a79c7-c988-48d5-82ed-69f584be3270"/>
  </r>
  <r>
    <s v="ORD200569"/>
    <x v="7"/>
    <x v="1"/>
    <n v="5"/>
    <n v="22.92"/>
    <x v="4"/>
    <n v="114.60000000000001"/>
    <d v="2024-11-26T20:34:59"/>
    <x v="4"/>
    <s v="ceab118e-2cd6-49cb-b9c6-16151bff91e4"/>
  </r>
  <r>
    <s v="ORD200570"/>
    <x v="3"/>
    <x v="2"/>
    <n v="1"/>
    <n v="18.45"/>
    <x v="7"/>
    <n v="18.45"/>
    <d v="2024-10-18T20:34:59"/>
    <x v="3"/>
    <s v="0e1436ce-72c7-4c7d-9aa8-698052403ada"/>
  </r>
  <r>
    <s v="ORD200571"/>
    <x v="10"/>
    <x v="0"/>
    <n v="1"/>
    <n v="44.99"/>
    <x v="6"/>
    <n v="44.99"/>
    <d v="2025-03-10T20:34:59"/>
    <x v="4"/>
    <s v="2591989c-ef27-4be5-ac38-2246228dc9ce"/>
  </r>
  <r>
    <s v="ORD200572"/>
    <x v="1"/>
    <x v="1"/>
    <n v="1"/>
    <n v="58.46"/>
    <x v="2"/>
    <n v="58.46"/>
    <d v="2025-01-09T20:34:59"/>
    <x v="2"/>
    <s v="4a5d6f89-b3e1-485e-93a2-95bf365514c3"/>
  </r>
  <r>
    <s v="ORD200573"/>
    <x v="10"/>
    <x v="0"/>
    <n v="5"/>
    <n v="35.79"/>
    <x v="2"/>
    <n v="178.95"/>
    <d v="2025-01-09T20:34:59"/>
    <x v="4"/>
    <s v="d476e464-fc93-4f0c-8db4-878264b0c9e0"/>
  </r>
  <r>
    <s v="ORD200574"/>
    <x v="5"/>
    <x v="2"/>
    <n v="3"/>
    <n v="16.850000000000001"/>
    <x v="2"/>
    <n v="50.550000000000004"/>
    <d v="2025-01-15T20:34:59"/>
    <x v="0"/>
    <s v="eb39ae63-3ec4-4afe-bf7a-f25d145693b4"/>
  </r>
  <r>
    <s v="ORD200575"/>
    <x v="9"/>
    <x v="2"/>
    <n v="2"/>
    <n v="35.799999999999997"/>
    <x v="3"/>
    <n v="71.599999999999994"/>
    <d v="2024-07-25T20:34:59"/>
    <x v="3"/>
    <s v="57c5a3d8-8411-4343-b48f-e82946d9267d"/>
  </r>
  <r>
    <s v="ORD200576"/>
    <x v="10"/>
    <x v="0"/>
    <n v="4"/>
    <n v="56.92"/>
    <x v="3"/>
    <n v="227.68"/>
    <d v="2024-07-02T20:34:59"/>
    <x v="3"/>
    <s v="5fac1d27-2096-4a00-a5c7-79e00578511d"/>
  </r>
  <r>
    <s v="ORD200577"/>
    <x v="6"/>
    <x v="1"/>
    <n v="2"/>
    <n v="28.07"/>
    <x v="6"/>
    <n v="56.14"/>
    <d v="2025-03-28T20:34:59"/>
    <x v="3"/>
    <s v="13bfe927-bf4e-4345-bd13-e0ad81605e22"/>
  </r>
  <r>
    <s v="ORD200578"/>
    <x v="8"/>
    <x v="0"/>
    <n v="2"/>
    <n v="16.05"/>
    <x v="0"/>
    <n v="32.1"/>
    <d v="2024-09-12T20:34:59"/>
    <x v="1"/>
    <s v="fabf946e-3fac-49bb-b9d0-b35dab8afa03"/>
  </r>
  <r>
    <s v="ORD200579"/>
    <x v="4"/>
    <x v="0"/>
    <n v="2"/>
    <n v="14.97"/>
    <x v="5"/>
    <n v="29.94"/>
    <d v="2025-02-05T20:34:59"/>
    <x v="1"/>
    <s v="979e5a12-bf19-46e3-add1-97a562f7fbb3"/>
  </r>
  <r>
    <s v="ORD200580"/>
    <x v="2"/>
    <x v="1"/>
    <n v="1"/>
    <n v="50.1"/>
    <x v="3"/>
    <n v="50.1"/>
    <d v="2024-07-20T20:34:59"/>
    <x v="4"/>
    <s v="54f06135-7693-4926-a7a6-1d62e43b96a3"/>
  </r>
  <r>
    <s v="ORD200581"/>
    <x v="6"/>
    <x v="1"/>
    <n v="3"/>
    <n v="45.11"/>
    <x v="11"/>
    <n v="135.32999999999998"/>
    <d v="2024-12-23T20:34:59"/>
    <x v="4"/>
    <s v="43e176d2-3141-4266-9643-e923ee46074a"/>
  </r>
  <r>
    <s v="ORD200582"/>
    <x v="9"/>
    <x v="2"/>
    <n v="2"/>
    <n v="33.79"/>
    <x v="10"/>
    <n v="67.58"/>
    <d v="2024-04-06T20:34:59"/>
    <x v="1"/>
    <s v="70ef0d4f-fe44-4c21-860f-d272fab590fa"/>
  </r>
  <r>
    <s v="ORD200583"/>
    <x v="7"/>
    <x v="1"/>
    <n v="3"/>
    <n v="30.95"/>
    <x v="3"/>
    <n v="92.85"/>
    <d v="2024-07-08T20:34:59"/>
    <x v="0"/>
    <s v="9ccdf7f2-13e3-4150-9b8b-16aa6cea3eb9"/>
  </r>
  <r>
    <s v="ORD200584"/>
    <x v="0"/>
    <x v="0"/>
    <n v="5"/>
    <n v="15.69"/>
    <x v="7"/>
    <n v="78.45"/>
    <d v="2024-10-31T20:34:59"/>
    <x v="2"/>
    <s v="47fbbd02-ed91-4254-8575-8ed0934b5874"/>
  </r>
  <r>
    <s v="ORD200585"/>
    <x v="10"/>
    <x v="0"/>
    <n v="4"/>
    <n v="17.07"/>
    <x v="11"/>
    <n v="68.28"/>
    <d v="2024-12-18T20:34:59"/>
    <x v="3"/>
    <s v="3724da24-86d1-421f-927f-757149b77f75"/>
  </r>
  <r>
    <s v="ORD200586"/>
    <x v="9"/>
    <x v="2"/>
    <n v="3"/>
    <n v="34.94"/>
    <x v="8"/>
    <n v="104.82"/>
    <d v="2024-06-22T20:34:59"/>
    <x v="2"/>
    <s v="45da4cd3-2c2f-4f1d-8207-1138e63ca668"/>
  </r>
  <r>
    <s v="ORD200587"/>
    <x v="7"/>
    <x v="1"/>
    <n v="1"/>
    <n v="46.2"/>
    <x v="8"/>
    <n v="46.2"/>
    <d v="2024-06-07T20:34:59"/>
    <x v="0"/>
    <s v="4d79cf34-39ba-49eb-93a1-5e7c6488cd0c"/>
  </r>
  <r>
    <s v="ORD200588"/>
    <x v="3"/>
    <x v="2"/>
    <n v="2"/>
    <n v="15.91"/>
    <x v="2"/>
    <n v="31.82"/>
    <d v="2025-01-24T20:34:59"/>
    <x v="2"/>
    <s v="1a7a1c6b-e322-415b-b13d-5fe4b206cce7"/>
  </r>
  <r>
    <s v="ORD200589"/>
    <x v="3"/>
    <x v="2"/>
    <n v="2"/>
    <n v="36.22"/>
    <x v="5"/>
    <n v="72.44"/>
    <d v="2025-02-18T20:34:59"/>
    <x v="0"/>
    <s v="fc8a1503-ce77-42bf-af85-20234b8a799d"/>
  </r>
  <r>
    <s v="ORD200590"/>
    <x v="5"/>
    <x v="2"/>
    <n v="2"/>
    <n v="26.02"/>
    <x v="1"/>
    <n v="52.04"/>
    <d v="2024-05-01T20:34:59"/>
    <x v="0"/>
    <s v="57cd1e6b-b91b-4a10-bb95-9abf64e0aa89"/>
  </r>
  <r>
    <s v="ORD200591"/>
    <x v="9"/>
    <x v="2"/>
    <n v="1"/>
    <n v="48.14"/>
    <x v="6"/>
    <n v="48.14"/>
    <d v="2025-03-05T20:34:59"/>
    <x v="2"/>
    <s v="3e781c8a-5219-40b8-ac41-8d770c25ed55"/>
  </r>
  <r>
    <s v="ORD200592"/>
    <x v="3"/>
    <x v="2"/>
    <n v="1"/>
    <n v="17.809999999999999"/>
    <x v="6"/>
    <n v="17.809999999999999"/>
    <d v="2025-03-22T20:34:59"/>
    <x v="2"/>
    <s v="cd769882-8bd1-4442-b692-b5f6517f5c24"/>
  </r>
  <r>
    <s v="ORD200593"/>
    <x v="1"/>
    <x v="1"/>
    <n v="2"/>
    <n v="45.72"/>
    <x v="7"/>
    <n v="91.44"/>
    <d v="2024-10-04T20:34:59"/>
    <x v="0"/>
    <s v="3852128e-ba06-45aa-ae07-1fc01482935d"/>
  </r>
  <r>
    <s v="ORD200594"/>
    <x v="7"/>
    <x v="1"/>
    <n v="4"/>
    <n v="25.48"/>
    <x v="10"/>
    <n v="101.92"/>
    <d v="2024-04-21T20:34:59"/>
    <x v="3"/>
    <s v="6c2ba710-5b95-461d-9e98-fafd14a6c6f1"/>
  </r>
  <r>
    <s v="ORD200595"/>
    <x v="0"/>
    <x v="0"/>
    <n v="3"/>
    <n v="34.950000000000003"/>
    <x v="5"/>
    <n v="104.85000000000001"/>
    <d v="2025-02-16T20:34:59"/>
    <x v="2"/>
    <s v="e74d71b6-cc6d-495d-952d-ae4a2e9640ac"/>
  </r>
  <r>
    <s v="ORD200596"/>
    <x v="3"/>
    <x v="2"/>
    <n v="3"/>
    <n v="57.36"/>
    <x v="2"/>
    <n v="172.07999999999998"/>
    <d v="2025-01-31T20:34:59"/>
    <x v="2"/>
    <s v="a500e250-b5ef-4fff-bf3b-98d4b92ffc59"/>
  </r>
  <r>
    <s v="ORD200597"/>
    <x v="4"/>
    <x v="0"/>
    <n v="4"/>
    <n v="45"/>
    <x v="7"/>
    <n v="180"/>
    <d v="2024-10-22T20:34:59"/>
    <x v="3"/>
    <s v="23e0da28-80f8-441f-bcbc-feeb0339669a"/>
  </r>
  <r>
    <s v="ORD200598"/>
    <x v="10"/>
    <x v="0"/>
    <n v="1"/>
    <n v="44.47"/>
    <x v="3"/>
    <n v="44.47"/>
    <d v="2024-07-19T20:34:59"/>
    <x v="0"/>
    <s v="30ffeb09-004a-4e04-8198-c88f54471d19"/>
  </r>
  <r>
    <s v="ORD200599"/>
    <x v="10"/>
    <x v="0"/>
    <n v="3"/>
    <n v="27.73"/>
    <x v="11"/>
    <n v="83.19"/>
    <d v="2024-12-06T20:34:59"/>
    <x v="0"/>
    <s v="6ec0634b-eb8f-41c1-8990-5debdcd1543a"/>
  </r>
  <r>
    <s v="ORD200600"/>
    <x v="10"/>
    <x v="0"/>
    <n v="4"/>
    <n v="53.33"/>
    <x v="2"/>
    <n v="213.32"/>
    <d v="2025-01-04T20:34:59"/>
    <x v="1"/>
    <s v="6d4674e0-692e-4d6d-9264-e0942f250a05"/>
  </r>
  <r>
    <s v="ORD200601"/>
    <x v="6"/>
    <x v="1"/>
    <n v="3"/>
    <n v="14.61"/>
    <x v="7"/>
    <n v="43.83"/>
    <d v="2024-10-27T20:34:59"/>
    <x v="2"/>
    <s v="099bb9bb-5adc-449d-bcf6-331635966a9f"/>
  </r>
  <r>
    <s v="ORD200602"/>
    <x v="7"/>
    <x v="1"/>
    <n v="4"/>
    <n v="42.86"/>
    <x v="7"/>
    <n v="171.44"/>
    <d v="2024-10-30T20:34:59"/>
    <x v="3"/>
    <s v="2f76f98e-30f0-4ac6-a0aa-8961dbca987b"/>
  </r>
  <r>
    <s v="ORD200603"/>
    <x v="4"/>
    <x v="0"/>
    <n v="1"/>
    <n v="44.55"/>
    <x v="9"/>
    <n v="44.55"/>
    <d v="2024-08-13T20:34:59"/>
    <x v="3"/>
    <s v="4d3248e7-1b42-44d9-8d24-78d3773c4227"/>
  </r>
  <r>
    <s v="ORD200604"/>
    <x v="10"/>
    <x v="0"/>
    <n v="2"/>
    <n v="28.65"/>
    <x v="1"/>
    <n v="57.3"/>
    <d v="2024-05-08T20:34:59"/>
    <x v="3"/>
    <s v="6027f21e-6002-4a05-b383-f3be52f22098"/>
  </r>
  <r>
    <s v="ORD200605"/>
    <x v="11"/>
    <x v="1"/>
    <n v="1"/>
    <n v="39.93"/>
    <x v="1"/>
    <n v="39.93"/>
    <d v="2024-05-29T20:34:59"/>
    <x v="0"/>
    <s v="bec1c931-799d-427d-ab5c-f30cae9283cc"/>
  </r>
  <r>
    <s v="ORD200606"/>
    <x v="5"/>
    <x v="2"/>
    <n v="2"/>
    <n v="26.35"/>
    <x v="8"/>
    <n v="52.7"/>
    <d v="2024-06-22T20:34:59"/>
    <x v="3"/>
    <s v="ac00dd04-3160-4941-87ac-3109106bebd2"/>
  </r>
  <r>
    <s v="ORD200607"/>
    <x v="0"/>
    <x v="0"/>
    <n v="4"/>
    <n v="47.16"/>
    <x v="2"/>
    <n v="188.64"/>
    <d v="2025-01-21T20:34:59"/>
    <x v="2"/>
    <s v="b1768c10-4ef1-4a79-8d2f-eac5c87aec41"/>
  </r>
  <r>
    <s v="ORD200608"/>
    <x v="10"/>
    <x v="0"/>
    <n v="4"/>
    <n v="38.74"/>
    <x v="4"/>
    <n v="154.96"/>
    <d v="2024-11-15T20:34:59"/>
    <x v="4"/>
    <s v="8e668b88-66f3-4e6d-89b2-fa8ec0fd2c0b"/>
  </r>
  <r>
    <s v="ORD200609"/>
    <x v="9"/>
    <x v="2"/>
    <n v="1"/>
    <n v="54.04"/>
    <x v="0"/>
    <n v="54.04"/>
    <d v="2024-09-24T20:34:59"/>
    <x v="0"/>
    <s v="7e10613f-7103-44a2-a23d-660c08c1b319"/>
  </r>
  <r>
    <s v="ORD200610"/>
    <x v="9"/>
    <x v="2"/>
    <n v="1"/>
    <n v="21.23"/>
    <x v="7"/>
    <n v="21.23"/>
    <d v="2024-10-07T20:34:59"/>
    <x v="2"/>
    <s v="34efdbef-49bb-48bf-a7cf-2b639b93175b"/>
  </r>
  <r>
    <s v="ORD200611"/>
    <x v="5"/>
    <x v="2"/>
    <n v="2"/>
    <n v="55.7"/>
    <x v="11"/>
    <n v="111.4"/>
    <d v="2024-12-25T20:34:59"/>
    <x v="2"/>
    <s v="13f52fba-0891-463e-ba4c-f2b59f366857"/>
  </r>
  <r>
    <s v="ORD200612"/>
    <x v="9"/>
    <x v="2"/>
    <n v="4"/>
    <n v="51.13"/>
    <x v="4"/>
    <n v="204.52"/>
    <d v="2024-11-01T20:34:59"/>
    <x v="1"/>
    <s v="46dc6535-e380-40f4-8c18-a84b58aa67d2"/>
  </r>
  <r>
    <s v="ORD200613"/>
    <x v="10"/>
    <x v="0"/>
    <n v="1"/>
    <n v="45.6"/>
    <x v="1"/>
    <n v="45.6"/>
    <d v="2024-05-15T20:34:59"/>
    <x v="0"/>
    <s v="0b50c2ae-5ad0-462a-8fb9-c44f232dcd32"/>
  </r>
  <r>
    <s v="ORD200614"/>
    <x v="10"/>
    <x v="0"/>
    <n v="1"/>
    <n v="14.93"/>
    <x v="6"/>
    <n v="14.93"/>
    <d v="2025-03-16T20:34:59"/>
    <x v="4"/>
    <s v="f55ab1cd-b521-4a50-a1b2-2c9eaa190f9e"/>
  </r>
  <r>
    <s v="ORD200615"/>
    <x v="2"/>
    <x v="1"/>
    <n v="4"/>
    <n v="47.81"/>
    <x v="8"/>
    <n v="191.24"/>
    <d v="2024-06-28T20:34:59"/>
    <x v="3"/>
    <s v="c44d7817-6a8a-47ad-af06-8b982e36c646"/>
  </r>
  <r>
    <s v="ORD200616"/>
    <x v="11"/>
    <x v="1"/>
    <n v="3"/>
    <n v="12.32"/>
    <x v="7"/>
    <n v="36.96"/>
    <d v="2024-10-23T20:34:59"/>
    <x v="1"/>
    <s v="e13de20d-131d-4ee7-9b21-a7bf481f07cc"/>
  </r>
  <r>
    <s v="ORD200617"/>
    <x v="2"/>
    <x v="1"/>
    <n v="5"/>
    <n v="52.28"/>
    <x v="9"/>
    <n v="261.39999999999998"/>
    <d v="2024-08-04T20:34:59"/>
    <x v="0"/>
    <s v="f5b73516-7da5-4057-940c-402dbfce8b1b"/>
  </r>
  <r>
    <s v="ORD200618"/>
    <x v="6"/>
    <x v="1"/>
    <n v="5"/>
    <n v="35.99"/>
    <x v="1"/>
    <n v="179.95000000000002"/>
    <d v="2024-05-25T20:34:59"/>
    <x v="0"/>
    <s v="289686d4-81dc-4e86-a37f-5c4d9ab163a3"/>
  </r>
  <r>
    <s v="ORD200619"/>
    <x v="9"/>
    <x v="2"/>
    <n v="2"/>
    <n v="46.09"/>
    <x v="9"/>
    <n v="92.18"/>
    <d v="2024-08-26T20:34:59"/>
    <x v="0"/>
    <s v="b9e77fd5-790c-4edf-b200-8794d83b12f3"/>
  </r>
  <r>
    <s v="ORD200620"/>
    <x v="1"/>
    <x v="1"/>
    <n v="4"/>
    <n v="39.72"/>
    <x v="7"/>
    <n v="158.88"/>
    <d v="2024-10-30T20:34:59"/>
    <x v="0"/>
    <s v="eac901ed-8718-447f-8d3e-22466c73fcbb"/>
  </r>
  <r>
    <s v="ORD200621"/>
    <x v="10"/>
    <x v="0"/>
    <n v="3"/>
    <n v="38.22"/>
    <x v="0"/>
    <n v="114.66"/>
    <d v="2024-09-20T20:34:59"/>
    <x v="1"/>
    <s v="1da049f3-2cb1-42f1-bf17-f2aee1dca8d2"/>
  </r>
  <r>
    <s v="ORD200622"/>
    <x v="5"/>
    <x v="2"/>
    <n v="2"/>
    <n v="47.62"/>
    <x v="7"/>
    <n v="95.24"/>
    <d v="2024-10-02T20:34:59"/>
    <x v="3"/>
    <s v="8af15ac0-912f-4393-beb9-3857ce0d573b"/>
  </r>
  <r>
    <s v="ORD200623"/>
    <x v="7"/>
    <x v="1"/>
    <n v="2"/>
    <n v="37.53"/>
    <x v="4"/>
    <n v="75.06"/>
    <d v="2024-11-26T20:34:59"/>
    <x v="2"/>
    <s v="b9d94652-ca37-4817-ae5e-309571e19d8e"/>
  </r>
  <r>
    <s v="ORD200624"/>
    <x v="6"/>
    <x v="1"/>
    <n v="3"/>
    <n v="10.32"/>
    <x v="0"/>
    <n v="30.96"/>
    <d v="2024-09-10T20:34:59"/>
    <x v="0"/>
    <s v="5280441e-26f4-4af4-9ed5-ba271cea0528"/>
  </r>
  <r>
    <s v="ORD200625"/>
    <x v="3"/>
    <x v="2"/>
    <n v="3"/>
    <n v="17.02"/>
    <x v="7"/>
    <n v="51.06"/>
    <d v="2024-10-07T20:34:59"/>
    <x v="1"/>
    <s v="ffed1cfb-11dc-4833-b5fc-25b80bf4de07"/>
  </r>
  <r>
    <s v="ORD200626"/>
    <x v="11"/>
    <x v="1"/>
    <n v="3"/>
    <n v="51.84"/>
    <x v="0"/>
    <n v="155.52000000000001"/>
    <d v="2024-09-21T20:34:59"/>
    <x v="3"/>
    <s v="0cc7badc-7305-46fe-9d6a-ff99f801ff42"/>
  </r>
  <r>
    <s v="ORD200627"/>
    <x v="5"/>
    <x v="2"/>
    <n v="2"/>
    <n v="26.67"/>
    <x v="2"/>
    <n v="53.34"/>
    <d v="2025-01-14T20:34:59"/>
    <x v="4"/>
    <s v="e7321d9e-d32e-4f21-a7b3-b34bd708557c"/>
  </r>
  <r>
    <s v="ORD200628"/>
    <x v="11"/>
    <x v="1"/>
    <n v="2"/>
    <n v="51.61"/>
    <x v="8"/>
    <n v="103.22"/>
    <d v="2024-06-13T20:34:59"/>
    <x v="3"/>
    <s v="956fe29e-7e82-4058-ba2a-097783288d05"/>
  </r>
  <r>
    <s v="ORD200629"/>
    <x v="7"/>
    <x v="1"/>
    <n v="5"/>
    <n v="15.21"/>
    <x v="9"/>
    <n v="76.050000000000011"/>
    <d v="2024-08-13T20:34:59"/>
    <x v="3"/>
    <s v="6fd052c0-b492-42d3-a13f-cbb44b24433a"/>
  </r>
  <r>
    <s v="ORD200630"/>
    <x v="0"/>
    <x v="0"/>
    <n v="3"/>
    <n v="24.81"/>
    <x v="2"/>
    <n v="74.429999999999993"/>
    <d v="2025-01-30T20:34:59"/>
    <x v="4"/>
    <s v="301896ac-52c1-4a4d-b8ef-7a4a07ba6a97"/>
  </r>
  <r>
    <s v="ORD200631"/>
    <x v="6"/>
    <x v="1"/>
    <n v="1"/>
    <n v="30.81"/>
    <x v="0"/>
    <n v="30.81"/>
    <d v="2024-09-25T20:34:59"/>
    <x v="2"/>
    <s v="ab8efb05-fc0e-48be-9a54-e0eeaba8072b"/>
  </r>
  <r>
    <s v="ORD200632"/>
    <x v="2"/>
    <x v="1"/>
    <n v="5"/>
    <n v="33.880000000000003"/>
    <x v="1"/>
    <n v="169.4"/>
    <d v="2024-05-08T20:34:59"/>
    <x v="2"/>
    <s v="77f587d2-9857-43cc-bd1d-00bf8de768c7"/>
  </r>
  <r>
    <s v="ORD200633"/>
    <x v="3"/>
    <x v="2"/>
    <n v="1"/>
    <n v="24.09"/>
    <x v="2"/>
    <n v="24.09"/>
    <d v="2025-01-23T20:34:59"/>
    <x v="4"/>
    <s v="85f55b87-f914-415a-a374-a18600b11c43"/>
  </r>
  <r>
    <s v="ORD200634"/>
    <x v="5"/>
    <x v="2"/>
    <n v="2"/>
    <n v="34.39"/>
    <x v="9"/>
    <n v="68.78"/>
    <d v="2024-08-07T20:34:59"/>
    <x v="1"/>
    <s v="193021c8-559b-4f9e-ba74-1bd8526e30d6"/>
  </r>
  <r>
    <s v="ORD200635"/>
    <x v="11"/>
    <x v="1"/>
    <n v="1"/>
    <n v="42.71"/>
    <x v="6"/>
    <n v="42.71"/>
    <d v="2025-03-22T20:34:59"/>
    <x v="3"/>
    <s v="cceed247-aa57-4ad0-9c7e-48c300b16b8d"/>
  </r>
  <r>
    <s v="ORD200636"/>
    <x v="11"/>
    <x v="1"/>
    <n v="5"/>
    <n v="11.12"/>
    <x v="7"/>
    <n v="55.599999999999994"/>
    <d v="2024-10-16T20:34:59"/>
    <x v="1"/>
    <s v="0da91f76-4e1d-4019-afff-990945c5e246"/>
  </r>
  <r>
    <s v="ORD200637"/>
    <x v="10"/>
    <x v="0"/>
    <n v="2"/>
    <n v="56.06"/>
    <x v="2"/>
    <n v="112.12"/>
    <d v="2025-01-01T20:34:59"/>
    <x v="4"/>
    <s v="46a8c98e-a9f1-4809-b246-f7e25acf8f1e"/>
  </r>
  <r>
    <s v="ORD200638"/>
    <x v="2"/>
    <x v="1"/>
    <n v="1"/>
    <n v="50.32"/>
    <x v="11"/>
    <n v="50.32"/>
    <d v="2024-12-03T20:34:59"/>
    <x v="4"/>
    <s v="058c9e9c-70ad-475a-8149-5eb9367361ed"/>
  </r>
  <r>
    <s v="ORD200639"/>
    <x v="5"/>
    <x v="2"/>
    <n v="5"/>
    <n v="23.83"/>
    <x v="0"/>
    <n v="119.14999999999999"/>
    <d v="2024-09-11T20:34:59"/>
    <x v="0"/>
    <s v="2dc9fbae-15d1-496f-a941-54f1751024df"/>
  </r>
  <r>
    <s v="ORD200640"/>
    <x v="1"/>
    <x v="1"/>
    <n v="1"/>
    <n v="23.78"/>
    <x v="4"/>
    <n v="23.78"/>
    <d v="2024-11-06T20:34:59"/>
    <x v="1"/>
    <s v="f154161d-99bb-4df8-92a0-677a3e11b27b"/>
  </r>
  <r>
    <s v="ORD200641"/>
    <x v="2"/>
    <x v="1"/>
    <n v="2"/>
    <n v="38.96"/>
    <x v="3"/>
    <n v="77.92"/>
    <d v="2024-07-22T20:34:59"/>
    <x v="0"/>
    <s v="6df37ac1-d6a8-4ffd-92ba-566f8923363a"/>
  </r>
  <r>
    <s v="ORD200642"/>
    <x v="4"/>
    <x v="0"/>
    <n v="3"/>
    <n v="52.22"/>
    <x v="7"/>
    <n v="156.66"/>
    <d v="2024-10-20T20:34:59"/>
    <x v="3"/>
    <s v="b62b597d-a540-4047-845d-14732eb7beeb"/>
  </r>
  <r>
    <s v="ORD200643"/>
    <x v="1"/>
    <x v="1"/>
    <n v="2"/>
    <n v="40.5"/>
    <x v="6"/>
    <n v="81"/>
    <d v="2025-03-30T20:34:59"/>
    <x v="2"/>
    <s v="e9e4e7a3-da6c-4f0f-8d84-a50eab2a05ff"/>
  </r>
  <r>
    <s v="ORD200644"/>
    <x v="7"/>
    <x v="1"/>
    <n v="5"/>
    <n v="14.93"/>
    <x v="10"/>
    <n v="74.650000000000006"/>
    <d v="2024-04-05T20:34:59"/>
    <x v="0"/>
    <s v="bce76987-1aae-46de-b691-cc8de73b2f27"/>
  </r>
  <r>
    <s v="ORD200645"/>
    <x v="1"/>
    <x v="1"/>
    <n v="3"/>
    <n v="14.42"/>
    <x v="10"/>
    <n v="43.26"/>
    <d v="2024-04-04T20:34:59"/>
    <x v="2"/>
    <s v="e943a7a9-fa5e-429a-acd8-75616982b190"/>
  </r>
  <r>
    <s v="ORD200646"/>
    <x v="3"/>
    <x v="2"/>
    <n v="4"/>
    <n v="59.44"/>
    <x v="8"/>
    <n v="237.76"/>
    <d v="2024-06-07T20:34:59"/>
    <x v="4"/>
    <s v="5d98f019-d9e1-4a69-b2bb-7708798168ea"/>
  </r>
  <r>
    <s v="ORD200647"/>
    <x v="4"/>
    <x v="0"/>
    <n v="3"/>
    <n v="13.87"/>
    <x v="2"/>
    <n v="41.61"/>
    <d v="2025-01-05T20:34:59"/>
    <x v="0"/>
    <s v="acabd736-916f-4a67-be34-d61a29bc19e0"/>
  </r>
  <r>
    <s v="ORD200648"/>
    <x v="5"/>
    <x v="2"/>
    <n v="2"/>
    <n v="31.55"/>
    <x v="4"/>
    <n v="63.1"/>
    <d v="2024-11-27T20:34:59"/>
    <x v="4"/>
    <s v="be728f84-58a3-45f4-9e87-ce35df742300"/>
  </r>
  <r>
    <s v="ORD200649"/>
    <x v="3"/>
    <x v="2"/>
    <n v="5"/>
    <n v="46.02"/>
    <x v="3"/>
    <n v="230.10000000000002"/>
    <d v="2024-07-30T20:34:59"/>
    <x v="0"/>
    <s v="0a8cc296-f12c-4100-9eeb-8fe01e7ab6a5"/>
  </r>
  <r>
    <s v="ORD200650"/>
    <x v="3"/>
    <x v="2"/>
    <n v="4"/>
    <n v="19.87"/>
    <x v="10"/>
    <n v="79.48"/>
    <d v="2024-04-19T20:34:59"/>
    <x v="3"/>
    <s v="a46627d3-aac4-40e1-bf2f-0bbfdb1dc641"/>
  </r>
  <r>
    <s v="ORD200651"/>
    <x v="10"/>
    <x v="0"/>
    <n v="2"/>
    <n v="15.88"/>
    <x v="0"/>
    <n v="31.76"/>
    <d v="2024-09-09T20:34:59"/>
    <x v="2"/>
    <s v="2d41d38f-3036-45d6-b1f1-16caebd2dae2"/>
  </r>
  <r>
    <s v="ORD200652"/>
    <x v="1"/>
    <x v="1"/>
    <n v="3"/>
    <n v="34.67"/>
    <x v="5"/>
    <n v="104.01"/>
    <d v="2025-02-24T20:34:59"/>
    <x v="4"/>
    <s v="13d055d1-45ed-4221-a7e9-330f655195ce"/>
  </r>
  <r>
    <s v="ORD200653"/>
    <x v="6"/>
    <x v="1"/>
    <n v="3"/>
    <n v="46.38"/>
    <x v="7"/>
    <n v="139.14000000000001"/>
    <d v="2024-10-30T20:34:59"/>
    <x v="4"/>
    <s v="ec084000-11b1-473c-861c-07da5c4b7953"/>
  </r>
  <r>
    <s v="ORD200654"/>
    <x v="3"/>
    <x v="2"/>
    <n v="1"/>
    <n v="38.65"/>
    <x v="9"/>
    <n v="38.65"/>
    <d v="2024-08-24T20:34:59"/>
    <x v="1"/>
    <s v="5f14e32c-b391-4cf9-8f50-a2338f90cc50"/>
  </r>
  <r>
    <s v="ORD200655"/>
    <x v="11"/>
    <x v="1"/>
    <n v="1"/>
    <n v="27"/>
    <x v="9"/>
    <n v="27"/>
    <d v="2024-08-11T20:34:59"/>
    <x v="1"/>
    <s v="364d090d-ddc2-47f3-8307-9f8be85beb84"/>
  </r>
  <r>
    <s v="ORD200656"/>
    <x v="9"/>
    <x v="2"/>
    <n v="5"/>
    <n v="31.97"/>
    <x v="6"/>
    <n v="159.85"/>
    <d v="2025-03-12T20:34:59"/>
    <x v="0"/>
    <s v="70bb5cfa-d802-425d-aa78-0b292cf274af"/>
  </r>
  <r>
    <s v="ORD200657"/>
    <x v="0"/>
    <x v="0"/>
    <n v="2"/>
    <n v="26.79"/>
    <x v="1"/>
    <n v="53.58"/>
    <d v="2024-05-30T20:34:59"/>
    <x v="2"/>
    <s v="eccfa910-4164-4908-84a7-54738683e07d"/>
  </r>
  <r>
    <s v="ORD200658"/>
    <x v="4"/>
    <x v="0"/>
    <n v="3"/>
    <n v="58.89"/>
    <x v="7"/>
    <n v="176.67000000000002"/>
    <d v="2024-10-29T20:34:59"/>
    <x v="2"/>
    <s v="bc08c3e6-7831-432c-8001-46c6019c66be"/>
  </r>
  <r>
    <s v="ORD200659"/>
    <x v="6"/>
    <x v="1"/>
    <n v="4"/>
    <n v="21.78"/>
    <x v="6"/>
    <n v="87.12"/>
    <d v="2025-03-15T20:34:59"/>
    <x v="0"/>
    <s v="ae0d4af3-6257-4f68-988e-076629041a02"/>
  </r>
  <r>
    <s v="ORD200660"/>
    <x v="2"/>
    <x v="1"/>
    <n v="1"/>
    <n v="36.57"/>
    <x v="8"/>
    <n v="36.57"/>
    <d v="2024-06-07T20:34:59"/>
    <x v="3"/>
    <s v="715cfc2a-9d89-44f6-858f-0017d3462bac"/>
  </r>
  <r>
    <s v="ORD200661"/>
    <x v="2"/>
    <x v="1"/>
    <n v="2"/>
    <n v="13.24"/>
    <x v="4"/>
    <n v="26.48"/>
    <d v="2024-11-03T20:34:59"/>
    <x v="1"/>
    <s v="9d904e46-1f20-4bea-b5b5-87b74cb6ddfe"/>
  </r>
  <r>
    <s v="ORD200662"/>
    <x v="3"/>
    <x v="2"/>
    <n v="1"/>
    <n v="13.17"/>
    <x v="0"/>
    <n v="13.17"/>
    <d v="2024-09-04T20:34:59"/>
    <x v="3"/>
    <s v="ebc8fb1f-669c-4300-990d-fad4d535d298"/>
  </r>
  <r>
    <s v="ORD200663"/>
    <x v="8"/>
    <x v="0"/>
    <n v="5"/>
    <n v="22.46"/>
    <x v="2"/>
    <n v="112.30000000000001"/>
    <d v="2025-01-09T20:34:59"/>
    <x v="3"/>
    <s v="18d73ef8-3e17-4efb-b1e8-74e08fb95e22"/>
  </r>
  <r>
    <s v="ORD200664"/>
    <x v="6"/>
    <x v="1"/>
    <n v="1"/>
    <n v="15.71"/>
    <x v="0"/>
    <n v="15.71"/>
    <d v="2024-09-15T20:34:59"/>
    <x v="2"/>
    <s v="096189ef-cda4-43ff-b10e-eefe35540313"/>
  </r>
  <r>
    <s v="ORD200665"/>
    <x v="5"/>
    <x v="2"/>
    <n v="2"/>
    <n v="34.29"/>
    <x v="11"/>
    <n v="68.58"/>
    <d v="2024-12-25T20:34:59"/>
    <x v="4"/>
    <s v="e13469c7-0b28-4ace-b62b-0e1e558e175e"/>
  </r>
  <r>
    <s v="ORD200666"/>
    <x v="3"/>
    <x v="2"/>
    <n v="3"/>
    <n v="26.53"/>
    <x v="4"/>
    <n v="79.59"/>
    <d v="2024-11-13T20:34:59"/>
    <x v="1"/>
    <s v="dcc9b2e1-443b-426c-bd7d-6761316d396f"/>
  </r>
  <r>
    <s v="ORD200667"/>
    <x v="6"/>
    <x v="1"/>
    <n v="2"/>
    <n v="34.18"/>
    <x v="5"/>
    <n v="68.36"/>
    <d v="2025-02-23T20:34:59"/>
    <x v="2"/>
    <s v="459a53a3-cdf4-47a7-b757-7b98a08848c3"/>
  </r>
  <r>
    <s v="ORD200668"/>
    <x v="6"/>
    <x v="1"/>
    <n v="1"/>
    <n v="37.049999999999997"/>
    <x v="2"/>
    <n v="37.049999999999997"/>
    <d v="2025-01-26T20:34:59"/>
    <x v="1"/>
    <s v="d5ff23ae-c1cd-4e6a-bd13-22b34ff5bd81"/>
  </r>
  <r>
    <s v="ORD200669"/>
    <x v="5"/>
    <x v="2"/>
    <n v="4"/>
    <n v="10.54"/>
    <x v="1"/>
    <n v="42.16"/>
    <d v="2024-05-19T20:34:59"/>
    <x v="0"/>
    <s v="bdf7a4ed-13e5-4049-a337-25a214571200"/>
  </r>
  <r>
    <s v="ORD200670"/>
    <x v="10"/>
    <x v="0"/>
    <n v="1"/>
    <n v="16.57"/>
    <x v="9"/>
    <n v="16.57"/>
    <d v="2024-08-04T20:34:59"/>
    <x v="0"/>
    <s v="726a4d35-6534-424e-bc85-7a1252750373"/>
  </r>
  <r>
    <s v="ORD200671"/>
    <x v="4"/>
    <x v="0"/>
    <n v="3"/>
    <n v="17.100000000000001"/>
    <x v="9"/>
    <n v="51.300000000000004"/>
    <d v="2024-08-04T20:34:59"/>
    <x v="2"/>
    <s v="7e5140c3-91b8-4ec2-b469-72ff819c14c1"/>
  </r>
  <r>
    <s v="ORD200672"/>
    <x v="8"/>
    <x v="0"/>
    <n v="5"/>
    <n v="46.58"/>
    <x v="6"/>
    <n v="232.89999999999998"/>
    <d v="2025-03-08T20:34:59"/>
    <x v="0"/>
    <s v="a2622a86-bb2f-4dcf-86b0-037bfba372e0"/>
  </r>
  <r>
    <s v="ORD200673"/>
    <x v="2"/>
    <x v="1"/>
    <n v="5"/>
    <n v="17.97"/>
    <x v="0"/>
    <n v="89.85"/>
    <d v="2024-09-04T20:34:59"/>
    <x v="0"/>
    <s v="1c270237-6bff-4fa7-bcf9-115d2a26a3f4"/>
  </r>
  <r>
    <s v="ORD200674"/>
    <x v="8"/>
    <x v="0"/>
    <n v="4"/>
    <n v="37.799999999999997"/>
    <x v="3"/>
    <n v="151.19999999999999"/>
    <d v="2024-07-08T20:34:59"/>
    <x v="4"/>
    <s v="e0010d2e-b13c-4cf5-afbd-69fc36c02610"/>
  </r>
  <r>
    <s v="ORD200675"/>
    <x v="9"/>
    <x v="2"/>
    <n v="3"/>
    <n v="34.380000000000003"/>
    <x v="4"/>
    <n v="103.14000000000001"/>
    <d v="2024-11-15T20:34:59"/>
    <x v="3"/>
    <s v="898eb882-ca5a-4b5e-8be6-fb2cd02c98cc"/>
  </r>
  <r>
    <s v="ORD200676"/>
    <x v="6"/>
    <x v="1"/>
    <n v="4"/>
    <n v="12.92"/>
    <x v="7"/>
    <n v="51.68"/>
    <d v="2024-10-26T20:34:59"/>
    <x v="4"/>
    <s v="bda57368-f1a0-4c79-a256-48cbeb18cf4f"/>
  </r>
  <r>
    <s v="ORD200677"/>
    <x v="4"/>
    <x v="0"/>
    <n v="4"/>
    <n v="42.01"/>
    <x v="6"/>
    <n v="168.04"/>
    <d v="2025-03-08T20:34:59"/>
    <x v="4"/>
    <s v="73dfb841-9dcb-4393-8c29-49387df63154"/>
  </r>
  <r>
    <s v="ORD200678"/>
    <x v="10"/>
    <x v="0"/>
    <n v="2"/>
    <n v="16.809999999999999"/>
    <x v="10"/>
    <n v="33.619999999999997"/>
    <d v="2024-04-07T20:34:59"/>
    <x v="0"/>
    <s v="63b7b385-e842-4eeb-8176-515aeaab13ea"/>
  </r>
  <r>
    <s v="ORD200679"/>
    <x v="8"/>
    <x v="0"/>
    <n v="5"/>
    <n v="26.23"/>
    <x v="3"/>
    <n v="131.15"/>
    <d v="2024-07-02T20:34:59"/>
    <x v="1"/>
    <s v="c157a341-7bfa-4a5c-bcbf-9e22b7d48660"/>
  </r>
  <r>
    <s v="ORD200680"/>
    <x v="4"/>
    <x v="0"/>
    <n v="2"/>
    <n v="40.44"/>
    <x v="7"/>
    <n v="80.88"/>
    <d v="2024-10-16T20:34:59"/>
    <x v="1"/>
    <s v="28d2cef1-b422-471b-8681-891f4682027b"/>
  </r>
  <r>
    <s v="ORD200681"/>
    <x v="5"/>
    <x v="2"/>
    <n v="4"/>
    <n v="14.35"/>
    <x v="4"/>
    <n v="57.4"/>
    <d v="2024-11-19T20:34:59"/>
    <x v="3"/>
    <s v="9bd93e22-c7a6-4f71-9893-890a55a47b31"/>
  </r>
  <r>
    <s v="ORD200682"/>
    <x v="1"/>
    <x v="1"/>
    <n v="4"/>
    <n v="42.11"/>
    <x v="5"/>
    <n v="168.44"/>
    <d v="2025-02-17T20:34:59"/>
    <x v="1"/>
    <s v="ea92b24e-e665-46d7-a389-7264e9d412c9"/>
  </r>
  <r>
    <s v="ORD200683"/>
    <x v="9"/>
    <x v="2"/>
    <n v="1"/>
    <n v="11.79"/>
    <x v="2"/>
    <n v="11.79"/>
    <d v="2025-01-11T20:34:59"/>
    <x v="1"/>
    <s v="3604f7f6-fccb-4f0d-ac1f-60c4ef06531b"/>
  </r>
  <r>
    <s v="ORD200684"/>
    <x v="5"/>
    <x v="2"/>
    <n v="1"/>
    <n v="55.41"/>
    <x v="0"/>
    <n v="55.41"/>
    <d v="2024-09-01T20:34:59"/>
    <x v="3"/>
    <s v="84c7d4cc-7c28-44a7-981a-c1073e2d496d"/>
  </r>
  <r>
    <s v="ORD200685"/>
    <x v="3"/>
    <x v="2"/>
    <n v="1"/>
    <n v="36.880000000000003"/>
    <x v="7"/>
    <n v="36.880000000000003"/>
    <d v="2024-10-09T20:34:59"/>
    <x v="0"/>
    <s v="aaf0ad12-e4df-4937-960a-66acdeb01c80"/>
  </r>
  <r>
    <s v="ORD200686"/>
    <x v="4"/>
    <x v="0"/>
    <n v="5"/>
    <n v="35.17"/>
    <x v="4"/>
    <n v="175.85000000000002"/>
    <d v="2024-11-25T20:34:59"/>
    <x v="1"/>
    <s v="6d720b04-34e2-44ac-b98e-00a8adf6e993"/>
  </r>
  <r>
    <s v="ORD200687"/>
    <x v="1"/>
    <x v="1"/>
    <n v="5"/>
    <n v="38.29"/>
    <x v="8"/>
    <n v="191.45"/>
    <d v="2024-06-12T20:34:59"/>
    <x v="1"/>
    <s v="18ebda5a-f361-4166-8d8f-f05a178717c6"/>
  </r>
  <r>
    <s v="ORD200688"/>
    <x v="7"/>
    <x v="1"/>
    <n v="4"/>
    <n v="42.09"/>
    <x v="10"/>
    <n v="168.36"/>
    <d v="2024-04-24T20:34:59"/>
    <x v="0"/>
    <s v="560d7c01-236a-45b3-ab41-1ca82f86a20c"/>
  </r>
  <r>
    <s v="ORD200689"/>
    <x v="8"/>
    <x v="0"/>
    <n v="3"/>
    <n v="29.44"/>
    <x v="4"/>
    <n v="88.320000000000007"/>
    <d v="2024-11-26T20:34:59"/>
    <x v="1"/>
    <s v="b76c6253-01d4-44af-9f21-2eddd4f6a981"/>
  </r>
  <r>
    <s v="ORD200690"/>
    <x v="10"/>
    <x v="0"/>
    <n v="3"/>
    <n v="17.55"/>
    <x v="11"/>
    <n v="52.650000000000006"/>
    <d v="2024-12-20T20:34:59"/>
    <x v="4"/>
    <s v="cbae259f-f99a-47ad-ad8f-34ba7759bf6f"/>
  </r>
  <r>
    <s v="ORD200691"/>
    <x v="9"/>
    <x v="2"/>
    <n v="5"/>
    <n v="59.42"/>
    <x v="3"/>
    <n v="297.10000000000002"/>
    <d v="2024-07-04T20:34:59"/>
    <x v="1"/>
    <s v="83572734-5bf4-441f-864a-3233458d9bff"/>
  </r>
  <r>
    <s v="ORD200692"/>
    <x v="9"/>
    <x v="2"/>
    <n v="1"/>
    <n v="58.25"/>
    <x v="3"/>
    <n v="58.25"/>
    <d v="2024-07-01T20:34:59"/>
    <x v="2"/>
    <s v="0f808ba8-2426-415f-9cef-8467886188ff"/>
  </r>
  <r>
    <s v="ORD200693"/>
    <x v="2"/>
    <x v="1"/>
    <n v="1"/>
    <n v="10.83"/>
    <x v="1"/>
    <n v="10.83"/>
    <d v="2024-05-25T20:34:59"/>
    <x v="3"/>
    <s v="e129a552-e99c-449b-9d74-52610b82e47d"/>
  </r>
  <r>
    <s v="ORD200694"/>
    <x v="9"/>
    <x v="2"/>
    <n v="3"/>
    <n v="45.93"/>
    <x v="1"/>
    <n v="137.79"/>
    <d v="2024-05-27T20:34:59"/>
    <x v="4"/>
    <s v="a50f85f4-22aa-4b06-b66f-ea2c20b1aae6"/>
  </r>
  <r>
    <s v="ORD200695"/>
    <x v="7"/>
    <x v="1"/>
    <n v="3"/>
    <n v="49.76"/>
    <x v="8"/>
    <n v="149.28"/>
    <d v="2024-06-12T20:34:59"/>
    <x v="0"/>
    <s v="49e5bea8-41a9-4572-bcc8-b6aed2012529"/>
  </r>
  <r>
    <s v="ORD200696"/>
    <x v="5"/>
    <x v="2"/>
    <n v="2"/>
    <n v="46.18"/>
    <x v="6"/>
    <n v="92.36"/>
    <d v="2025-03-17T20:34:59"/>
    <x v="2"/>
    <s v="5f449c18-009f-4d58-a369-40f4baa461bf"/>
  </r>
  <r>
    <s v="ORD200697"/>
    <x v="2"/>
    <x v="1"/>
    <n v="4"/>
    <n v="59.04"/>
    <x v="0"/>
    <n v="236.16"/>
    <d v="2024-09-24T20:34:59"/>
    <x v="1"/>
    <s v="f410afa8-6c1a-457d-8a93-c98842e1a4a7"/>
  </r>
  <r>
    <s v="ORD200698"/>
    <x v="2"/>
    <x v="1"/>
    <n v="4"/>
    <n v="16.89"/>
    <x v="4"/>
    <n v="67.56"/>
    <d v="2024-11-30T20:34:59"/>
    <x v="3"/>
    <s v="c4f94f4b-2ab1-4fb8-bb72-a88c009225e2"/>
  </r>
  <r>
    <s v="ORD200699"/>
    <x v="9"/>
    <x v="2"/>
    <n v="5"/>
    <n v="21.45"/>
    <x v="11"/>
    <n v="107.25"/>
    <d v="2024-12-07T20:34:59"/>
    <x v="4"/>
    <s v="e9105451-37a5-4b81-84df-8918fb959fac"/>
  </r>
  <r>
    <s v="ORD200700"/>
    <x v="7"/>
    <x v="1"/>
    <n v="1"/>
    <n v="48.98"/>
    <x v="0"/>
    <n v="48.98"/>
    <d v="2024-09-14T20:34:59"/>
    <x v="1"/>
    <s v="9f8ba93b-e319-48b4-8131-e19e9c168b8f"/>
  </r>
  <r>
    <s v="ORD200701"/>
    <x v="7"/>
    <x v="1"/>
    <n v="5"/>
    <n v="18.03"/>
    <x v="1"/>
    <n v="90.15"/>
    <d v="2024-05-09T20:34:59"/>
    <x v="1"/>
    <s v="dac13585-6894-40fa-8650-3a503c59ee2e"/>
  </r>
  <r>
    <s v="ORD200702"/>
    <x v="9"/>
    <x v="2"/>
    <n v="4"/>
    <n v="59"/>
    <x v="7"/>
    <n v="236"/>
    <d v="2024-10-29T20:34:59"/>
    <x v="1"/>
    <s v="38c3efdc-6019-444d-921a-bc8dfdd23c9a"/>
  </r>
  <r>
    <s v="ORD200703"/>
    <x v="2"/>
    <x v="1"/>
    <n v="1"/>
    <n v="42.86"/>
    <x v="6"/>
    <n v="42.86"/>
    <d v="2025-03-11T20:34:59"/>
    <x v="2"/>
    <s v="3c854de7-4395-4b7b-a581-f3ee0ad4dc8a"/>
  </r>
  <r>
    <s v="ORD200704"/>
    <x v="8"/>
    <x v="0"/>
    <n v="1"/>
    <n v="47.05"/>
    <x v="8"/>
    <n v="47.05"/>
    <d v="2024-06-09T20:34:59"/>
    <x v="2"/>
    <s v="d92a7d61-c657-42d5-b609-d7afc0c9f723"/>
  </r>
  <r>
    <s v="ORD200705"/>
    <x v="7"/>
    <x v="1"/>
    <n v="1"/>
    <n v="41.46"/>
    <x v="3"/>
    <n v="41.46"/>
    <d v="2024-07-20T20:34:59"/>
    <x v="0"/>
    <s v="e7a29cff-970e-453d-93e3-9846300caba7"/>
  </r>
  <r>
    <s v="ORD200706"/>
    <x v="2"/>
    <x v="1"/>
    <n v="5"/>
    <n v="57.22"/>
    <x v="2"/>
    <n v="286.10000000000002"/>
    <d v="2025-01-05T20:34:59"/>
    <x v="1"/>
    <s v="9abccfd5-cb45-42dd-aee2-3548dc089dd0"/>
  </r>
  <r>
    <s v="ORD200707"/>
    <x v="11"/>
    <x v="1"/>
    <n v="1"/>
    <n v="18.27"/>
    <x v="2"/>
    <n v="18.27"/>
    <d v="2025-01-25T20:34:59"/>
    <x v="3"/>
    <s v="1bc1cf5f-4dcd-4b0b-9d21-f0b66bda6dfd"/>
  </r>
  <r>
    <s v="ORD200708"/>
    <x v="1"/>
    <x v="1"/>
    <n v="2"/>
    <n v="16.38"/>
    <x v="6"/>
    <n v="32.76"/>
    <d v="2025-03-15T20:34:59"/>
    <x v="1"/>
    <s v="006c541d-a168-4ea0-b635-f06ea8ccf9e1"/>
  </r>
  <r>
    <s v="ORD200709"/>
    <x v="10"/>
    <x v="0"/>
    <n v="1"/>
    <n v="39.97"/>
    <x v="9"/>
    <n v="39.97"/>
    <d v="2024-08-29T20:34:59"/>
    <x v="4"/>
    <s v="c436160b-5f48-4925-8ca7-60984395fa4d"/>
  </r>
  <r>
    <s v="ORD200710"/>
    <x v="3"/>
    <x v="2"/>
    <n v="1"/>
    <n v="41.92"/>
    <x v="11"/>
    <n v="41.92"/>
    <d v="2024-12-11T20:34:59"/>
    <x v="4"/>
    <s v="5f996364-13e4-4245-a26d-aad29c8c7b3f"/>
  </r>
  <r>
    <s v="ORD200711"/>
    <x v="9"/>
    <x v="2"/>
    <n v="4"/>
    <n v="52.73"/>
    <x v="4"/>
    <n v="210.92"/>
    <d v="2024-11-29T20:34:59"/>
    <x v="4"/>
    <s v="16099082-1dee-40dd-a6c3-740ddc96c563"/>
  </r>
  <r>
    <s v="ORD200712"/>
    <x v="1"/>
    <x v="1"/>
    <n v="5"/>
    <n v="30.49"/>
    <x v="9"/>
    <n v="152.44999999999999"/>
    <d v="2024-08-11T20:34:59"/>
    <x v="2"/>
    <s v="e898e043-04c2-4b30-9629-664e6053eb0c"/>
  </r>
  <r>
    <s v="ORD200713"/>
    <x v="11"/>
    <x v="1"/>
    <n v="2"/>
    <n v="34.020000000000003"/>
    <x v="12"/>
    <n v="68.040000000000006"/>
    <d v="2025-04-02T20:34:59"/>
    <x v="1"/>
    <s v="159ba6b0-5eb6-4b95-abfc-ad01ec05a65e"/>
  </r>
  <r>
    <s v="ORD200714"/>
    <x v="3"/>
    <x v="2"/>
    <n v="3"/>
    <n v="29.32"/>
    <x v="8"/>
    <n v="87.960000000000008"/>
    <d v="2024-06-18T20:34:59"/>
    <x v="2"/>
    <s v="a6237339-aa3a-44ab-a5a4-858071f70867"/>
  </r>
  <r>
    <s v="ORD200715"/>
    <x v="2"/>
    <x v="1"/>
    <n v="5"/>
    <n v="38.58"/>
    <x v="1"/>
    <n v="192.89999999999998"/>
    <d v="2024-05-01T20:34:59"/>
    <x v="0"/>
    <s v="20ad9b7a-70cf-4c8a-81a3-2d806a3e6523"/>
  </r>
  <r>
    <s v="ORD200716"/>
    <x v="3"/>
    <x v="2"/>
    <n v="4"/>
    <n v="13.91"/>
    <x v="6"/>
    <n v="55.64"/>
    <d v="2025-03-18T20:34:59"/>
    <x v="4"/>
    <s v="8bd1119e-ae77-4ca7-a29d-74aa2d87f486"/>
  </r>
  <r>
    <s v="ORD200717"/>
    <x v="8"/>
    <x v="0"/>
    <n v="4"/>
    <n v="15.05"/>
    <x v="9"/>
    <n v="60.2"/>
    <d v="2024-08-02T20:34:59"/>
    <x v="0"/>
    <s v="9454281b-f070-4318-b5aa-914f9f3254ed"/>
  </r>
  <r>
    <s v="ORD200718"/>
    <x v="9"/>
    <x v="2"/>
    <n v="2"/>
    <n v="40.1"/>
    <x v="6"/>
    <n v="80.2"/>
    <d v="2025-03-07T20:34:59"/>
    <x v="2"/>
    <s v="edf20763-f893-457c-a439-67f1facc57c4"/>
  </r>
  <r>
    <s v="ORD200719"/>
    <x v="3"/>
    <x v="2"/>
    <n v="2"/>
    <n v="21.91"/>
    <x v="7"/>
    <n v="43.82"/>
    <d v="2024-10-22T20:34:59"/>
    <x v="0"/>
    <s v="ed5d9015-be1d-4875-b9a1-3e4b1783abd0"/>
  </r>
  <r>
    <s v="ORD200720"/>
    <x v="2"/>
    <x v="1"/>
    <n v="3"/>
    <n v="39.81"/>
    <x v="1"/>
    <n v="119.43"/>
    <d v="2024-05-12T20:34:59"/>
    <x v="1"/>
    <s v="fd01126c-223c-4318-bf96-1266c188f4c0"/>
  </r>
  <r>
    <s v="ORD200721"/>
    <x v="4"/>
    <x v="0"/>
    <n v="2"/>
    <n v="50.81"/>
    <x v="9"/>
    <n v="101.62"/>
    <d v="2024-08-31T20:34:59"/>
    <x v="4"/>
    <s v="b0de7b75-2bcd-4d06-9a24-96d878882499"/>
  </r>
  <r>
    <s v="ORD200722"/>
    <x v="5"/>
    <x v="2"/>
    <n v="2"/>
    <n v="16.420000000000002"/>
    <x v="9"/>
    <n v="32.840000000000003"/>
    <d v="2024-08-25T20:34:59"/>
    <x v="1"/>
    <s v="1678d4a9-87d9-432e-9c9c-80f06302b54c"/>
  </r>
  <r>
    <s v="ORD200723"/>
    <x v="3"/>
    <x v="2"/>
    <n v="3"/>
    <n v="50.82"/>
    <x v="11"/>
    <n v="152.46"/>
    <d v="2024-12-10T20:34:59"/>
    <x v="0"/>
    <s v="329dc560-cb51-4d55-a375-47b9f444ff98"/>
  </r>
  <r>
    <s v="ORD200724"/>
    <x v="8"/>
    <x v="0"/>
    <n v="1"/>
    <n v="52.82"/>
    <x v="11"/>
    <n v="52.82"/>
    <d v="2024-12-10T20:34:59"/>
    <x v="4"/>
    <s v="b0fe2d0e-97aa-4542-9cf0-3e343b7a95b4"/>
  </r>
  <r>
    <s v="ORD200725"/>
    <x v="6"/>
    <x v="1"/>
    <n v="5"/>
    <n v="52.51"/>
    <x v="6"/>
    <n v="262.55"/>
    <d v="2025-03-17T20:34:59"/>
    <x v="4"/>
    <s v="6d3d0bff-7e23-414b-9f7b-2538b57b259b"/>
  </r>
  <r>
    <s v="ORD200726"/>
    <x v="4"/>
    <x v="0"/>
    <n v="4"/>
    <n v="18.52"/>
    <x v="4"/>
    <n v="74.08"/>
    <d v="2024-11-15T20:34:59"/>
    <x v="3"/>
    <s v="c1856b30-223a-4c32-a43f-d4d960aebf18"/>
  </r>
  <r>
    <s v="ORD200727"/>
    <x v="8"/>
    <x v="0"/>
    <n v="2"/>
    <n v="35.299999999999997"/>
    <x v="5"/>
    <n v="70.599999999999994"/>
    <d v="2025-02-25T20:34:59"/>
    <x v="4"/>
    <s v="e2f1d531-a529-4950-8e1e-29927a04ca5f"/>
  </r>
  <r>
    <s v="ORD200728"/>
    <x v="11"/>
    <x v="1"/>
    <n v="5"/>
    <n v="21.25"/>
    <x v="6"/>
    <n v="106.25"/>
    <d v="2025-03-07T20:34:59"/>
    <x v="4"/>
    <s v="b865ee3e-b020-4850-8411-e87b81d29fb3"/>
  </r>
  <r>
    <s v="ORD200729"/>
    <x v="6"/>
    <x v="1"/>
    <n v="2"/>
    <n v="24.85"/>
    <x v="4"/>
    <n v="49.7"/>
    <d v="2024-11-27T20:34:59"/>
    <x v="2"/>
    <s v="db1a09e2-62f5-4e5f-94de-7627b8234f68"/>
  </r>
  <r>
    <s v="ORD200730"/>
    <x v="6"/>
    <x v="1"/>
    <n v="3"/>
    <n v="38.82"/>
    <x v="8"/>
    <n v="116.46000000000001"/>
    <d v="2024-06-26T20:34:59"/>
    <x v="4"/>
    <s v="8a531758-bab2-4884-84c4-c70e969e15c5"/>
  </r>
  <r>
    <s v="ORD200731"/>
    <x v="0"/>
    <x v="0"/>
    <n v="2"/>
    <n v="43.53"/>
    <x v="1"/>
    <n v="87.06"/>
    <d v="2024-05-01T20:34:59"/>
    <x v="0"/>
    <s v="9ad09292-93d3-428e-81fa-c56e0302d0d6"/>
  </r>
  <r>
    <s v="ORD200732"/>
    <x v="5"/>
    <x v="2"/>
    <n v="4"/>
    <n v="58.58"/>
    <x v="11"/>
    <n v="234.32"/>
    <d v="2024-12-30T20:34:59"/>
    <x v="0"/>
    <s v="2df6dd49-fd6b-41dd-a93f-769c9c2e8f9f"/>
  </r>
  <r>
    <s v="ORD200733"/>
    <x v="5"/>
    <x v="2"/>
    <n v="4"/>
    <n v="35.46"/>
    <x v="2"/>
    <n v="141.84"/>
    <d v="2025-01-26T20:34:59"/>
    <x v="4"/>
    <s v="26a357b1-53f8-4e1b-8e77-2d0e8eda1115"/>
  </r>
  <r>
    <s v="ORD200734"/>
    <x v="3"/>
    <x v="2"/>
    <n v="2"/>
    <n v="30.4"/>
    <x v="6"/>
    <n v="60.8"/>
    <d v="2025-03-20T20:34:59"/>
    <x v="4"/>
    <s v="cdbe7f61-e29d-4c78-9101-5f89bc6cbeb4"/>
  </r>
  <r>
    <s v="ORD200735"/>
    <x v="8"/>
    <x v="0"/>
    <n v="3"/>
    <n v="27.64"/>
    <x v="5"/>
    <n v="82.92"/>
    <d v="2025-02-11T20:34:59"/>
    <x v="1"/>
    <s v="c7d5d1bf-b658-410d-8eed-aa925298af89"/>
  </r>
  <r>
    <s v="ORD200736"/>
    <x v="0"/>
    <x v="0"/>
    <n v="3"/>
    <n v="25.98"/>
    <x v="2"/>
    <n v="77.94"/>
    <d v="2025-01-16T20:34:59"/>
    <x v="3"/>
    <s v="f04f2565-6027-4159-b2e4-8f939784b669"/>
  </r>
  <r>
    <s v="ORD200737"/>
    <x v="2"/>
    <x v="1"/>
    <n v="2"/>
    <n v="50.68"/>
    <x v="11"/>
    <n v="101.36"/>
    <d v="2024-12-22T20:34:59"/>
    <x v="2"/>
    <s v="ee89b711-bce5-4520-a1dd-48ffb27e46b9"/>
  </r>
  <r>
    <s v="ORD200738"/>
    <x v="8"/>
    <x v="0"/>
    <n v="1"/>
    <n v="23.46"/>
    <x v="7"/>
    <n v="23.46"/>
    <d v="2024-10-01T20:34:59"/>
    <x v="2"/>
    <s v="4bdebd03-24b4-410a-9b98-dda690082694"/>
  </r>
  <r>
    <s v="ORD200739"/>
    <x v="6"/>
    <x v="1"/>
    <n v="4"/>
    <n v="41.64"/>
    <x v="2"/>
    <n v="166.56"/>
    <d v="2025-01-29T20:34:59"/>
    <x v="2"/>
    <s v="43d73ab5-077b-445d-8c2c-56912bccf851"/>
  </r>
  <r>
    <s v="ORD200740"/>
    <x v="6"/>
    <x v="1"/>
    <n v="5"/>
    <n v="15.62"/>
    <x v="11"/>
    <n v="78.099999999999994"/>
    <d v="2024-12-12T20:34:59"/>
    <x v="0"/>
    <s v="9bf747de-e9f9-4e3e-8182-9d8ea5aefc2e"/>
  </r>
  <r>
    <s v="ORD200741"/>
    <x v="10"/>
    <x v="0"/>
    <n v="4"/>
    <n v="10.78"/>
    <x v="4"/>
    <n v="43.12"/>
    <d v="2024-11-10T20:34:59"/>
    <x v="2"/>
    <s v="ed7ad308-7344-4b9a-b0af-e3da2bcc3c85"/>
  </r>
  <r>
    <s v="ORD200742"/>
    <x v="0"/>
    <x v="0"/>
    <n v="1"/>
    <n v="56.6"/>
    <x v="6"/>
    <n v="56.6"/>
    <d v="2025-03-19T20:34:59"/>
    <x v="3"/>
    <s v="c8c39349-7fae-4fd7-b925-41c24ba5bd5b"/>
  </r>
  <r>
    <s v="ORD200743"/>
    <x v="0"/>
    <x v="0"/>
    <n v="3"/>
    <n v="32.08"/>
    <x v="4"/>
    <n v="96.24"/>
    <d v="2024-11-04T20:34:59"/>
    <x v="4"/>
    <s v="9d755cc9-85bc-4782-848e-b2355b71985d"/>
  </r>
  <r>
    <s v="ORD200744"/>
    <x v="10"/>
    <x v="0"/>
    <n v="4"/>
    <n v="34.130000000000003"/>
    <x v="6"/>
    <n v="136.52000000000001"/>
    <d v="2025-03-11T20:34:59"/>
    <x v="2"/>
    <s v="f884dfb3-d871-4a46-8f81-db1e91611e74"/>
  </r>
  <r>
    <s v="ORD200745"/>
    <x v="7"/>
    <x v="1"/>
    <n v="4"/>
    <n v="51.41"/>
    <x v="6"/>
    <n v="205.64"/>
    <d v="2025-03-25T20:34:59"/>
    <x v="4"/>
    <s v="761d41ea-a5d2-4da6-953e-d57e08f1c125"/>
  </r>
  <r>
    <s v="ORD200746"/>
    <x v="2"/>
    <x v="1"/>
    <n v="4"/>
    <n v="47.1"/>
    <x v="6"/>
    <n v="188.4"/>
    <d v="2025-03-22T20:34:59"/>
    <x v="0"/>
    <s v="9ce3b2e6-c32b-4bc7-9fb4-cc9c0287e719"/>
  </r>
  <r>
    <s v="ORD200747"/>
    <x v="7"/>
    <x v="1"/>
    <n v="1"/>
    <n v="51.51"/>
    <x v="9"/>
    <n v="51.51"/>
    <d v="2024-08-25T20:34:59"/>
    <x v="1"/>
    <s v="586bd132-1800-48b7-81eb-de2ea5decc5d"/>
  </r>
  <r>
    <s v="ORD200748"/>
    <x v="3"/>
    <x v="2"/>
    <n v="2"/>
    <n v="50.39"/>
    <x v="0"/>
    <n v="100.78"/>
    <d v="2024-09-04T20:34:59"/>
    <x v="3"/>
    <s v="b3022510-c623-4646-8c71-b725ee7a95df"/>
  </r>
  <r>
    <s v="ORD200749"/>
    <x v="7"/>
    <x v="1"/>
    <n v="2"/>
    <n v="22.23"/>
    <x v="4"/>
    <n v="44.46"/>
    <d v="2024-11-20T20:34:59"/>
    <x v="4"/>
    <s v="11ca224a-adc8-4cbe-8aef-67b898e3f24d"/>
  </r>
  <r>
    <s v="ORD200750"/>
    <x v="9"/>
    <x v="2"/>
    <n v="4"/>
    <n v="38.69"/>
    <x v="1"/>
    <n v="154.76"/>
    <d v="2024-05-31T20:34:59"/>
    <x v="0"/>
    <s v="0678e690-6345-4a0d-a0dd-27feac564444"/>
  </r>
  <r>
    <s v="ORD200751"/>
    <x v="3"/>
    <x v="2"/>
    <n v="3"/>
    <n v="24.25"/>
    <x v="6"/>
    <n v="72.75"/>
    <d v="2025-03-21T20:34:59"/>
    <x v="4"/>
    <s v="196afa7a-243d-4d83-8cef-fc34decb55c5"/>
  </r>
  <r>
    <s v="ORD200752"/>
    <x v="5"/>
    <x v="2"/>
    <n v="3"/>
    <n v="22"/>
    <x v="0"/>
    <n v="66"/>
    <d v="2024-09-21T20:34:59"/>
    <x v="2"/>
    <s v="2f2de2f7-92cc-4ca3-9acf-ebe984b917bf"/>
  </r>
  <r>
    <s v="ORD200753"/>
    <x v="4"/>
    <x v="0"/>
    <n v="4"/>
    <n v="55.76"/>
    <x v="5"/>
    <n v="223.04"/>
    <d v="2025-02-14T20:34:59"/>
    <x v="1"/>
    <s v="b9401e4b-92b8-420f-9af3-d99388a19ead"/>
  </r>
  <r>
    <s v="ORD200754"/>
    <x v="9"/>
    <x v="2"/>
    <n v="2"/>
    <n v="59.59"/>
    <x v="5"/>
    <n v="119.18"/>
    <d v="2025-02-25T20:34:59"/>
    <x v="2"/>
    <s v="39340ec5-b90d-47bd-abe0-1e0892d24ee5"/>
  </r>
  <r>
    <s v="ORD200755"/>
    <x v="8"/>
    <x v="0"/>
    <n v="4"/>
    <n v="49.29"/>
    <x v="8"/>
    <n v="197.16"/>
    <d v="2024-06-19T20:34:59"/>
    <x v="1"/>
    <s v="6ea99e4c-21ef-46b3-9d3b-ba024556244b"/>
  </r>
  <r>
    <s v="ORD200756"/>
    <x v="1"/>
    <x v="1"/>
    <n v="1"/>
    <n v="52.5"/>
    <x v="6"/>
    <n v="52.5"/>
    <d v="2025-03-02T20:34:59"/>
    <x v="4"/>
    <s v="1ca63197-e705-4c4c-a4d3-8d4f49c4f918"/>
  </r>
  <r>
    <s v="ORD200757"/>
    <x v="3"/>
    <x v="2"/>
    <n v="2"/>
    <n v="26.77"/>
    <x v="2"/>
    <n v="53.54"/>
    <d v="2025-01-03T20:34:59"/>
    <x v="0"/>
    <s v="df3e81f3-575e-46e9-b0b8-a08070073e4f"/>
  </r>
  <r>
    <s v="ORD200758"/>
    <x v="2"/>
    <x v="1"/>
    <n v="2"/>
    <n v="29.25"/>
    <x v="2"/>
    <n v="58.5"/>
    <d v="2025-01-16T20:34:59"/>
    <x v="0"/>
    <s v="ad667f43-8c96-4df9-ad88-0e40656acfb2"/>
  </r>
  <r>
    <s v="ORD200759"/>
    <x v="1"/>
    <x v="1"/>
    <n v="1"/>
    <n v="44.44"/>
    <x v="5"/>
    <n v="44.44"/>
    <d v="2025-02-22T20:34:59"/>
    <x v="0"/>
    <s v="85bb390a-043f-40bf-be08-1a8dd3e6fdbf"/>
  </r>
  <r>
    <s v="ORD200760"/>
    <x v="5"/>
    <x v="2"/>
    <n v="1"/>
    <n v="30.45"/>
    <x v="2"/>
    <n v="30.45"/>
    <d v="2025-01-11T20:34:59"/>
    <x v="0"/>
    <s v="2fbd5583-1271-4691-9182-9af55820bbe0"/>
  </r>
  <r>
    <s v="ORD200761"/>
    <x v="1"/>
    <x v="1"/>
    <n v="4"/>
    <n v="15.04"/>
    <x v="12"/>
    <n v="60.16"/>
    <d v="2025-04-02T20:34:59"/>
    <x v="2"/>
    <s v="f424c800-64cd-4451-8548-65d658f1c43c"/>
  </r>
  <r>
    <s v="ORD200762"/>
    <x v="7"/>
    <x v="1"/>
    <n v="4"/>
    <n v="28.14"/>
    <x v="3"/>
    <n v="112.56"/>
    <d v="2024-07-19T20:34:59"/>
    <x v="2"/>
    <s v="c84d1767-ab9b-45f3-b0aa-5a18b5da7470"/>
  </r>
  <r>
    <s v="ORD200763"/>
    <x v="3"/>
    <x v="2"/>
    <n v="2"/>
    <n v="53.15"/>
    <x v="1"/>
    <n v="106.3"/>
    <d v="2024-05-01T20:34:59"/>
    <x v="3"/>
    <s v="1babf2fb-92be-4cb3-871e-fc6983bebb58"/>
  </r>
  <r>
    <s v="ORD200764"/>
    <x v="9"/>
    <x v="2"/>
    <n v="4"/>
    <n v="36.520000000000003"/>
    <x v="0"/>
    <n v="146.08000000000001"/>
    <d v="2024-09-23T20:34:59"/>
    <x v="4"/>
    <s v="d59c5661-bcd3-439a-a8a7-28b0363a9681"/>
  </r>
  <r>
    <s v="ORD200765"/>
    <x v="1"/>
    <x v="1"/>
    <n v="2"/>
    <n v="23.49"/>
    <x v="0"/>
    <n v="46.98"/>
    <d v="2024-09-28T20:34:59"/>
    <x v="4"/>
    <s v="f1b103db-8f8d-4131-942b-f7019bceb9d8"/>
  </r>
  <r>
    <s v="ORD200766"/>
    <x v="9"/>
    <x v="2"/>
    <n v="3"/>
    <n v="15.52"/>
    <x v="9"/>
    <n v="46.56"/>
    <d v="2024-08-21T20:34:59"/>
    <x v="1"/>
    <s v="30f1136d-05c4-481d-948c-0fb5d2f4d244"/>
  </r>
  <r>
    <s v="ORD200767"/>
    <x v="5"/>
    <x v="2"/>
    <n v="1"/>
    <n v="48.98"/>
    <x v="10"/>
    <n v="48.98"/>
    <d v="2024-04-16T20:34:59"/>
    <x v="3"/>
    <s v="aff0480f-9ca7-4281-92e0-3c89db38eb14"/>
  </r>
  <r>
    <s v="ORD200768"/>
    <x v="7"/>
    <x v="1"/>
    <n v="1"/>
    <n v="13.67"/>
    <x v="8"/>
    <n v="13.67"/>
    <d v="2024-06-23T20:34:59"/>
    <x v="2"/>
    <s v="1fd14a50-6807-45c0-93be-9f0a8afc7be4"/>
  </r>
  <r>
    <s v="ORD200769"/>
    <x v="9"/>
    <x v="2"/>
    <n v="3"/>
    <n v="44.25"/>
    <x v="6"/>
    <n v="132.75"/>
    <d v="2025-03-29T20:34:59"/>
    <x v="0"/>
    <s v="d40d7ed0-ded3-4425-bacf-217cb1edd42f"/>
  </r>
  <r>
    <s v="ORD200770"/>
    <x v="4"/>
    <x v="0"/>
    <n v="2"/>
    <n v="59.84"/>
    <x v="8"/>
    <n v="119.68"/>
    <d v="2024-06-19T20:34:59"/>
    <x v="0"/>
    <s v="71a9eb1c-2bf8-4ba5-bb12-45705d4e7b1d"/>
  </r>
  <r>
    <s v="ORD200771"/>
    <x v="7"/>
    <x v="1"/>
    <n v="5"/>
    <n v="43.03"/>
    <x v="7"/>
    <n v="215.15"/>
    <d v="2024-10-21T20:34:59"/>
    <x v="1"/>
    <s v="72d9b93f-621e-47b4-bf8c-1e81820c0d4f"/>
  </r>
  <r>
    <s v="ORD200772"/>
    <x v="5"/>
    <x v="2"/>
    <n v="4"/>
    <n v="57.12"/>
    <x v="0"/>
    <n v="228.48"/>
    <d v="2024-09-12T20:34:59"/>
    <x v="0"/>
    <s v="b2f0b92f-f2de-470e-81d4-d09512d1716e"/>
  </r>
  <r>
    <s v="ORD200773"/>
    <x v="10"/>
    <x v="0"/>
    <n v="2"/>
    <n v="21.27"/>
    <x v="4"/>
    <n v="42.54"/>
    <d v="2024-11-25T20:34:59"/>
    <x v="0"/>
    <s v="99b44342-7cdc-44a0-9745-0dbd5cca0028"/>
  </r>
  <r>
    <s v="ORD200774"/>
    <x v="8"/>
    <x v="0"/>
    <n v="3"/>
    <n v="15.04"/>
    <x v="6"/>
    <n v="45.12"/>
    <d v="2025-03-23T20:34:59"/>
    <x v="3"/>
    <s v="4574f714-220e-4afc-bc98-531a15f13f90"/>
  </r>
  <r>
    <s v="ORD200775"/>
    <x v="5"/>
    <x v="2"/>
    <n v="5"/>
    <n v="22.33"/>
    <x v="1"/>
    <n v="111.64999999999999"/>
    <d v="2024-05-27T20:34:59"/>
    <x v="4"/>
    <s v="65fcd815-81a8-4da3-a4b7-ea722c89901e"/>
  </r>
  <r>
    <s v="ORD200776"/>
    <x v="3"/>
    <x v="2"/>
    <n v="4"/>
    <n v="35.78"/>
    <x v="3"/>
    <n v="143.12"/>
    <d v="2024-07-29T20:34:59"/>
    <x v="3"/>
    <s v="8cf873c7-54f1-4358-908d-a54d49318fe2"/>
  </r>
  <r>
    <s v="ORD200777"/>
    <x v="5"/>
    <x v="2"/>
    <n v="4"/>
    <n v="52.65"/>
    <x v="11"/>
    <n v="210.6"/>
    <d v="2024-12-21T20:34:59"/>
    <x v="2"/>
    <s v="ef354a63-8f30-4824-a6ec-becb77f7be0b"/>
  </r>
  <r>
    <s v="ORD200778"/>
    <x v="5"/>
    <x v="2"/>
    <n v="4"/>
    <n v="11.96"/>
    <x v="8"/>
    <n v="47.84"/>
    <d v="2024-06-03T20:34:59"/>
    <x v="1"/>
    <s v="f7a72d1e-b3b9-4a92-b749-a0827c5458f8"/>
  </r>
  <r>
    <s v="ORD200779"/>
    <x v="8"/>
    <x v="0"/>
    <n v="2"/>
    <n v="42.47"/>
    <x v="10"/>
    <n v="84.94"/>
    <d v="2024-04-21T20:34:59"/>
    <x v="0"/>
    <s v="94623751-c78f-4dc6-a92c-a95e9571c78a"/>
  </r>
  <r>
    <s v="ORD200780"/>
    <x v="5"/>
    <x v="2"/>
    <n v="5"/>
    <n v="30.9"/>
    <x v="1"/>
    <n v="154.5"/>
    <d v="2024-05-12T20:34:59"/>
    <x v="3"/>
    <s v="9f513b0a-a22f-41da-a01b-86637ede0fd3"/>
  </r>
  <r>
    <s v="ORD200781"/>
    <x v="11"/>
    <x v="1"/>
    <n v="4"/>
    <n v="48.91"/>
    <x v="5"/>
    <n v="195.64"/>
    <d v="2025-02-24T20:34:59"/>
    <x v="2"/>
    <s v="f10b84a6-8a97-475d-9b77-e9570c6d1fb0"/>
  </r>
  <r>
    <s v="ORD200782"/>
    <x v="1"/>
    <x v="1"/>
    <n v="5"/>
    <n v="59.46"/>
    <x v="4"/>
    <n v="297.3"/>
    <d v="2024-11-14T20:34:59"/>
    <x v="2"/>
    <s v="fad05111-0add-47b1-80d6-6e2940146e42"/>
  </r>
  <r>
    <s v="ORD200783"/>
    <x v="0"/>
    <x v="0"/>
    <n v="3"/>
    <n v="56.69"/>
    <x v="1"/>
    <n v="170.07"/>
    <d v="2024-05-07T20:34:59"/>
    <x v="2"/>
    <s v="774c1b63-74d8-40ce-ac67-3ad098bada22"/>
  </r>
  <r>
    <s v="ORD200784"/>
    <x v="7"/>
    <x v="1"/>
    <n v="2"/>
    <n v="47.31"/>
    <x v="8"/>
    <n v="94.62"/>
    <d v="2024-06-12T20:34:59"/>
    <x v="1"/>
    <s v="0f3cc831-ed40-4136-a4de-4ad182ae7c00"/>
  </r>
  <r>
    <s v="ORD200785"/>
    <x v="4"/>
    <x v="0"/>
    <n v="3"/>
    <n v="29.9"/>
    <x v="6"/>
    <n v="89.699999999999989"/>
    <d v="2025-03-27T20:34:59"/>
    <x v="1"/>
    <s v="89780ac2-aa9a-431b-af31-48e6d0526856"/>
  </r>
  <r>
    <s v="ORD200786"/>
    <x v="7"/>
    <x v="1"/>
    <n v="4"/>
    <n v="58.65"/>
    <x v="2"/>
    <n v="234.6"/>
    <d v="2025-01-15T20:34:59"/>
    <x v="2"/>
    <s v="0affa134-9544-4fa0-839a-ec3a6b2df7a3"/>
  </r>
  <r>
    <s v="ORD200787"/>
    <x v="4"/>
    <x v="0"/>
    <n v="2"/>
    <n v="23"/>
    <x v="11"/>
    <n v="46"/>
    <d v="2024-12-01T20:34:59"/>
    <x v="1"/>
    <s v="8e81eea0-cec2-4246-be30-c73a898a8ba0"/>
  </r>
  <r>
    <s v="ORD200788"/>
    <x v="10"/>
    <x v="0"/>
    <n v="1"/>
    <n v="50.28"/>
    <x v="6"/>
    <n v="50.28"/>
    <d v="2025-03-24T20:34:59"/>
    <x v="3"/>
    <s v="d0252b6a-4ec6-4609-85eb-9ce50a4a147e"/>
  </r>
  <r>
    <s v="ORD200789"/>
    <x v="3"/>
    <x v="2"/>
    <n v="2"/>
    <n v="54.56"/>
    <x v="5"/>
    <n v="109.12"/>
    <d v="2025-02-18T20:34:59"/>
    <x v="3"/>
    <s v="b5743c98-86f5-433d-bca6-dbe11364952e"/>
  </r>
  <r>
    <s v="ORD200790"/>
    <x v="8"/>
    <x v="0"/>
    <n v="2"/>
    <n v="55.96"/>
    <x v="6"/>
    <n v="111.92"/>
    <d v="2025-03-16T20:34:59"/>
    <x v="0"/>
    <s v="6991a312-e89d-43b5-b19b-77ffec547e64"/>
  </r>
  <r>
    <s v="ORD200791"/>
    <x v="2"/>
    <x v="1"/>
    <n v="1"/>
    <n v="36.69"/>
    <x v="2"/>
    <n v="36.69"/>
    <d v="2025-01-03T20:34:59"/>
    <x v="3"/>
    <s v="db1f19b3-37eb-4903-a227-0d34fe06cbef"/>
  </r>
  <r>
    <s v="ORD200792"/>
    <x v="10"/>
    <x v="0"/>
    <n v="5"/>
    <n v="33.43"/>
    <x v="8"/>
    <n v="167.15"/>
    <d v="2024-06-02T20:34:59"/>
    <x v="2"/>
    <s v="1d601146-3d91-4169-8b8c-4f7e1ccf7ae1"/>
  </r>
  <r>
    <s v="ORD200793"/>
    <x v="6"/>
    <x v="1"/>
    <n v="5"/>
    <n v="56.94"/>
    <x v="1"/>
    <n v="284.7"/>
    <d v="2024-05-25T20:34:59"/>
    <x v="4"/>
    <s v="d6560082-7abf-4782-a4ea-4c10b7b67af7"/>
  </r>
  <r>
    <s v="ORD200794"/>
    <x v="10"/>
    <x v="0"/>
    <n v="2"/>
    <n v="34.83"/>
    <x v="7"/>
    <n v="69.66"/>
    <d v="2024-10-10T20:34:59"/>
    <x v="1"/>
    <s v="2c7984cc-2b97-4120-a6a5-6a483b03c9fd"/>
  </r>
  <r>
    <s v="ORD200795"/>
    <x v="10"/>
    <x v="0"/>
    <n v="4"/>
    <n v="17.760000000000002"/>
    <x v="9"/>
    <n v="71.040000000000006"/>
    <d v="2024-08-14T20:34:59"/>
    <x v="0"/>
    <s v="7814bad1-8a3f-4015-829d-6f04960a49d2"/>
  </r>
  <r>
    <s v="ORD200796"/>
    <x v="8"/>
    <x v="0"/>
    <n v="2"/>
    <n v="28.54"/>
    <x v="4"/>
    <n v="57.08"/>
    <d v="2024-11-17T20:34:59"/>
    <x v="1"/>
    <s v="abf36900-6e7f-44fb-bc79-02d65d8fd2d9"/>
  </r>
  <r>
    <s v="ORD200797"/>
    <x v="5"/>
    <x v="2"/>
    <n v="5"/>
    <n v="54.44"/>
    <x v="10"/>
    <n v="272.2"/>
    <d v="2024-04-23T20:34:59"/>
    <x v="2"/>
    <s v="5b76ab88-6a2c-437f-8dd2-8fdf226fa455"/>
  </r>
  <r>
    <s v="ORD200798"/>
    <x v="9"/>
    <x v="2"/>
    <n v="4"/>
    <n v="30.78"/>
    <x v="1"/>
    <n v="123.12"/>
    <d v="2024-05-06T20:34:59"/>
    <x v="2"/>
    <s v="75a7c801-f69a-424b-b014-0f4c951fd44d"/>
  </r>
  <r>
    <s v="ORD200799"/>
    <x v="9"/>
    <x v="2"/>
    <n v="2"/>
    <n v="56.8"/>
    <x v="6"/>
    <n v="113.6"/>
    <d v="2025-03-12T20:34:59"/>
    <x v="0"/>
    <s v="b3443164-bbe0-40a5-9620-4937e909c277"/>
  </r>
  <r>
    <s v="ORD200800"/>
    <x v="0"/>
    <x v="0"/>
    <n v="4"/>
    <n v="57.32"/>
    <x v="8"/>
    <n v="229.28"/>
    <d v="2024-06-01T20:34:59"/>
    <x v="0"/>
    <s v="503e07db-53eb-41b1-add1-45aa9671fb17"/>
  </r>
  <r>
    <s v="ORD200801"/>
    <x v="2"/>
    <x v="1"/>
    <n v="4"/>
    <n v="31.37"/>
    <x v="8"/>
    <n v="125.48"/>
    <d v="2024-06-19T20:34:59"/>
    <x v="2"/>
    <s v="05c68ce4-e6ab-4a84-9c62-594dc23d2fd3"/>
  </r>
  <r>
    <s v="ORD200802"/>
    <x v="10"/>
    <x v="0"/>
    <n v="1"/>
    <n v="48.71"/>
    <x v="4"/>
    <n v="48.71"/>
    <d v="2024-11-16T20:34:59"/>
    <x v="1"/>
    <s v="e6389631-d12b-4311-aa83-517345802d02"/>
  </r>
  <r>
    <s v="ORD200803"/>
    <x v="4"/>
    <x v="0"/>
    <n v="1"/>
    <n v="37.15"/>
    <x v="3"/>
    <n v="37.15"/>
    <d v="2024-07-15T20:34:59"/>
    <x v="0"/>
    <s v="f8de117a-ae9e-403e-901b-f5151e6e10a8"/>
  </r>
  <r>
    <s v="ORD200804"/>
    <x v="8"/>
    <x v="0"/>
    <n v="5"/>
    <n v="31.29"/>
    <x v="6"/>
    <n v="156.44999999999999"/>
    <d v="2025-03-13T20:34:59"/>
    <x v="0"/>
    <s v="d8b3ac30-a269-4ef7-b77b-9aceec2f7495"/>
  </r>
  <r>
    <s v="ORD200805"/>
    <x v="3"/>
    <x v="2"/>
    <n v="2"/>
    <n v="39.99"/>
    <x v="2"/>
    <n v="79.98"/>
    <d v="2025-01-22T20:34:59"/>
    <x v="1"/>
    <s v="46bbc951-5bfe-473c-97c7-2c5a9fea636e"/>
  </r>
  <r>
    <s v="ORD200806"/>
    <x v="7"/>
    <x v="1"/>
    <n v="2"/>
    <n v="55.07"/>
    <x v="5"/>
    <n v="110.14"/>
    <d v="2025-02-20T20:34:59"/>
    <x v="4"/>
    <s v="a9dde5e4-f094-48b1-ba94-18415afdec86"/>
  </r>
  <r>
    <s v="ORD200807"/>
    <x v="11"/>
    <x v="1"/>
    <n v="2"/>
    <n v="45.98"/>
    <x v="3"/>
    <n v="91.96"/>
    <d v="2024-07-05T20:34:59"/>
    <x v="4"/>
    <s v="94aa70d9-888f-4c82-bc2f-00b38dc5492a"/>
  </r>
  <r>
    <s v="ORD200808"/>
    <x v="9"/>
    <x v="2"/>
    <n v="4"/>
    <n v="21.86"/>
    <x v="0"/>
    <n v="87.44"/>
    <d v="2024-09-05T20:34:59"/>
    <x v="3"/>
    <s v="1389605a-708b-41d0-8a10-ce6c96347ab8"/>
  </r>
  <r>
    <s v="ORD200809"/>
    <x v="0"/>
    <x v="0"/>
    <n v="2"/>
    <n v="37.72"/>
    <x v="7"/>
    <n v="75.44"/>
    <d v="2024-10-27T20:34:59"/>
    <x v="0"/>
    <s v="2266aec6-9aec-47cf-a408-94ba094b042f"/>
  </r>
  <r>
    <s v="ORD200810"/>
    <x v="11"/>
    <x v="1"/>
    <n v="3"/>
    <n v="32.25"/>
    <x v="5"/>
    <n v="96.75"/>
    <d v="2025-02-26T20:34:59"/>
    <x v="1"/>
    <s v="143be316-96da-4799-aeca-dd1445853234"/>
  </r>
  <r>
    <s v="ORD200811"/>
    <x v="2"/>
    <x v="1"/>
    <n v="5"/>
    <n v="35.130000000000003"/>
    <x v="8"/>
    <n v="175.65"/>
    <d v="2024-06-08T20:34:59"/>
    <x v="0"/>
    <s v="6ad154a3-a66f-4edc-a5bb-4558991e40db"/>
  </r>
  <r>
    <s v="ORD200812"/>
    <x v="9"/>
    <x v="2"/>
    <n v="3"/>
    <n v="51.92"/>
    <x v="9"/>
    <n v="155.76"/>
    <d v="2024-08-16T20:34:59"/>
    <x v="3"/>
    <s v="e5186781-a0c6-4df4-b2e4-a85614fd1021"/>
  </r>
  <r>
    <s v="ORD200813"/>
    <x v="1"/>
    <x v="1"/>
    <n v="4"/>
    <n v="52.42"/>
    <x v="11"/>
    <n v="209.68"/>
    <d v="2024-12-26T20:34:59"/>
    <x v="4"/>
    <s v="f0f5395f-b939-4921-9126-8c65f0547e43"/>
  </r>
  <r>
    <s v="ORD200814"/>
    <x v="5"/>
    <x v="2"/>
    <n v="5"/>
    <n v="14.87"/>
    <x v="6"/>
    <n v="74.349999999999994"/>
    <d v="2025-03-18T20:34:59"/>
    <x v="0"/>
    <s v="80271b49-8039-4940-a8eb-badd2046cb15"/>
  </r>
  <r>
    <s v="ORD200815"/>
    <x v="10"/>
    <x v="0"/>
    <n v="3"/>
    <n v="28.01"/>
    <x v="5"/>
    <n v="84.03"/>
    <d v="2025-02-06T20:34:59"/>
    <x v="2"/>
    <s v="3f4d6122-4d7c-4bfd-b3bf-29c41ec19e39"/>
  </r>
  <r>
    <s v="ORD200816"/>
    <x v="0"/>
    <x v="0"/>
    <n v="1"/>
    <n v="37.770000000000003"/>
    <x v="1"/>
    <n v="37.770000000000003"/>
    <d v="2024-05-31T20:34:59"/>
    <x v="4"/>
    <s v="8a3a2986-7f30-4ad6-8251-68a73542cde5"/>
  </r>
  <r>
    <s v="ORD200817"/>
    <x v="7"/>
    <x v="1"/>
    <n v="4"/>
    <n v="29.59"/>
    <x v="11"/>
    <n v="118.36"/>
    <d v="2024-12-08T20:34:59"/>
    <x v="4"/>
    <s v="157e71f5-a4b0-4e18-ac3c-72daf6067af9"/>
  </r>
  <r>
    <s v="ORD200818"/>
    <x v="5"/>
    <x v="2"/>
    <n v="5"/>
    <n v="23.47"/>
    <x v="10"/>
    <n v="117.35"/>
    <d v="2024-04-24T20:34:59"/>
    <x v="0"/>
    <s v="16259369-064e-4865-ab6f-a6631f067587"/>
  </r>
  <r>
    <s v="ORD200819"/>
    <x v="3"/>
    <x v="2"/>
    <n v="5"/>
    <n v="52.24"/>
    <x v="5"/>
    <n v="261.2"/>
    <d v="2025-02-16T20:34:59"/>
    <x v="1"/>
    <s v="c157bd41-c78d-49b1-8a45-28bbeaafa91d"/>
  </r>
  <r>
    <s v="ORD200820"/>
    <x v="5"/>
    <x v="2"/>
    <n v="2"/>
    <n v="49.37"/>
    <x v="2"/>
    <n v="98.74"/>
    <d v="2025-01-01T20:34:59"/>
    <x v="4"/>
    <s v="e4ff5b27-be54-439f-9b8e-567dd90c87f3"/>
  </r>
  <r>
    <s v="ORD200821"/>
    <x v="4"/>
    <x v="0"/>
    <n v="4"/>
    <n v="55.76"/>
    <x v="2"/>
    <n v="223.04"/>
    <d v="2025-01-07T20:34:59"/>
    <x v="2"/>
    <s v="04ea9cc2-39f1-4076-82db-b45331900f7e"/>
  </r>
  <r>
    <s v="ORD200822"/>
    <x v="0"/>
    <x v="0"/>
    <n v="4"/>
    <n v="53.27"/>
    <x v="10"/>
    <n v="213.08"/>
    <d v="2024-04-24T20:34:59"/>
    <x v="3"/>
    <s v="c280fe69-8d0e-4f94-8170-2bbfa7ca6a66"/>
  </r>
  <r>
    <s v="ORD200823"/>
    <x v="5"/>
    <x v="2"/>
    <n v="5"/>
    <n v="13.04"/>
    <x v="9"/>
    <n v="65.199999999999989"/>
    <d v="2024-08-14T20:34:59"/>
    <x v="4"/>
    <s v="29ed1d9f-188d-4950-a56a-a6db6fae831b"/>
  </r>
  <r>
    <s v="ORD200824"/>
    <x v="3"/>
    <x v="2"/>
    <n v="2"/>
    <n v="55.84"/>
    <x v="7"/>
    <n v="111.68"/>
    <d v="2024-10-13T20:34:59"/>
    <x v="1"/>
    <s v="354abac3-3434-449f-8fd0-3059cb113487"/>
  </r>
  <r>
    <s v="ORD200825"/>
    <x v="3"/>
    <x v="2"/>
    <n v="1"/>
    <n v="30.09"/>
    <x v="10"/>
    <n v="30.09"/>
    <d v="2024-04-20T20:34:59"/>
    <x v="4"/>
    <s v="34a6070a-1923-4f6d-b2d9-152fcbfe7e6d"/>
  </r>
  <r>
    <s v="ORD200826"/>
    <x v="3"/>
    <x v="2"/>
    <n v="4"/>
    <n v="30.57"/>
    <x v="0"/>
    <n v="122.28"/>
    <d v="2024-09-07T20:34:59"/>
    <x v="4"/>
    <s v="b866a4cd-a45e-469a-9423-53d82956268a"/>
  </r>
  <r>
    <s v="ORD200827"/>
    <x v="3"/>
    <x v="2"/>
    <n v="1"/>
    <n v="45.11"/>
    <x v="1"/>
    <n v="45.11"/>
    <d v="2024-05-10T20:34:59"/>
    <x v="3"/>
    <s v="d5d06bf5-5d59-4f02-b717-e0c8f81dbb01"/>
  </r>
  <r>
    <s v="ORD200828"/>
    <x v="9"/>
    <x v="2"/>
    <n v="3"/>
    <n v="50.14"/>
    <x v="4"/>
    <n v="150.42000000000002"/>
    <d v="2024-11-04T20:34:59"/>
    <x v="2"/>
    <s v="a27d74bb-0eba-47e1-9820-09b988b11fe5"/>
  </r>
  <r>
    <s v="ORD200829"/>
    <x v="9"/>
    <x v="2"/>
    <n v="2"/>
    <n v="26.47"/>
    <x v="2"/>
    <n v="52.94"/>
    <d v="2025-01-04T20:34:59"/>
    <x v="1"/>
    <s v="5607aa02-1826-4c85-851a-c91a3e6dbdc3"/>
  </r>
  <r>
    <s v="ORD200830"/>
    <x v="8"/>
    <x v="0"/>
    <n v="2"/>
    <n v="46.71"/>
    <x v="6"/>
    <n v="93.42"/>
    <d v="2025-03-03T20:34:59"/>
    <x v="0"/>
    <s v="95338d4a-c0f5-4605-8a89-08a1054051bc"/>
  </r>
  <r>
    <s v="ORD200831"/>
    <x v="3"/>
    <x v="2"/>
    <n v="1"/>
    <n v="45.41"/>
    <x v="7"/>
    <n v="45.41"/>
    <d v="2024-10-12T20:34:59"/>
    <x v="0"/>
    <s v="301dadbf-21a6-4e59-8336-731fa3fc4569"/>
  </r>
  <r>
    <s v="ORD200832"/>
    <x v="9"/>
    <x v="2"/>
    <n v="1"/>
    <n v="50.23"/>
    <x v="7"/>
    <n v="50.23"/>
    <d v="2024-10-28T20:34:59"/>
    <x v="3"/>
    <s v="d6c74202-ad24-4463-9fc3-6338a3de134e"/>
  </r>
  <r>
    <s v="ORD200833"/>
    <x v="3"/>
    <x v="2"/>
    <n v="2"/>
    <n v="31.33"/>
    <x v="8"/>
    <n v="62.66"/>
    <d v="2024-06-16T20:34:59"/>
    <x v="4"/>
    <s v="dbb784f2-faca-4190-be3b-de937750f06a"/>
  </r>
  <r>
    <s v="ORD200834"/>
    <x v="0"/>
    <x v="0"/>
    <n v="4"/>
    <n v="53.39"/>
    <x v="1"/>
    <n v="213.56"/>
    <d v="2024-05-19T20:34:59"/>
    <x v="0"/>
    <s v="4db1440b-47d3-48a7-8862-02040996fc56"/>
  </r>
  <r>
    <s v="ORD200835"/>
    <x v="11"/>
    <x v="1"/>
    <n v="5"/>
    <n v="34.17"/>
    <x v="8"/>
    <n v="170.85000000000002"/>
    <d v="2024-06-28T20:34:59"/>
    <x v="1"/>
    <s v="8fd49c0e-583e-4f3b-8e9c-8f0a5138fd91"/>
  </r>
  <r>
    <s v="ORD200836"/>
    <x v="7"/>
    <x v="1"/>
    <n v="1"/>
    <n v="36.020000000000003"/>
    <x v="6"/>
    <n v="36.020000000000003"/>
    <d v="2025-03-27T20:34:59"/>
    <x v="2"/>
    <s v="3985e860-a205-4ca3-8a70-3f7062bc9f6c"/>
  </r>
  <r>
    <s v="ORD200837"/>
    <x v="2"/>
    <x v="1"/>
    <n v="4"/>
    <n v="53.77"/>
    <x v="9"/>
    <n v="215.08"/>
    <d v="2024-08-18T20:34:59"/>
    <x v="1"/>
    <s v="4f27e375-271d-493a-8c7a-51031a26cbb2"/>
  </r>
  <r>
    <s v="ORD200838"/>
    <x v="11"/>
    <x v="1"/>
    <n v="4"/>
    <n v="23.59"/>
    <x v="3"/>
    <n v="94.36"/>
    <d v="2024-07-28T20:34:59"/>
    <x v="1"/>
    <s v="707162b6-da90-42b5-8ace-996cc7d072bd"/>
  </r>
  <r>
    <s v="ORD200839"/>
    <x v="9"/>
    <x v="2"/>
    <n v="4"/>
    <n v="59.85"/>
    <x v="3"/>
    <n v="239.4"/>
    <d v="2024-07-08T20:34:59"/>
    <x v="3"/>
    <s v="b0529fa2-f7bd-42b1-ab45-720846b45fd9"/>
  </r>
  <r>
    <s v="ORD200840"/>
    <x v="0"/>
    <x v="0"/>
    <n v="3"/>
    <n v="56.65"/>
    <x v="4"/>
    <n v="169.95"/>
    <d v="2024-11-28T20:34:59"/>
    <x v="1"/>
    <s v="7962cb2c-7d25-4b0e-9440-b137a455de55"/>
  </r>
  <r>
    <s v="ORD200841"/>
    <x v="4"/>
    <x v="0"/>
    <n v="2"/>
    <n v="18.46"/>
    <x v="6"/>
    <n v="36.92"/>
    <d v="2025-03-06T20:34:59"/>
    <x v="2"/>
    <s v="986822af-fd15-4eec-b218-b3a9f0020ff1"/>
  </r>
  <r>
    <s v="ORD200842"/>
    <x v="4"/>
    <x v="0"/>
    <n v="5"/>
    <n v="14.35"/>
    <x v="8"/>
    <n v="71.75"/>
    <d v="2024-06-20T20:34:59"/>
    <x v="1"/>
    <s v="5fa08f1a-d8d2-47cd-b3fb-69c03483a4e6"/>
  </r>
  <r>
    <s v="ORD200843"/>
    <x v="5"/>
    <x v="2"/>
    <n v="4"/>
    <n v="25.68"/>
    <x v="9"/>
    <n v="102.72"/>
    <d v="2024-08-29T20:34:59"/>
    <x v="0"/>
    <s v="d35d45ea-4938-47f5-a00c-74e4cf6eaf92"/>
  </r>
  <r>
    <s v="ORD200844"/>
    <x v="11"/>
    <x v="1"/>
    <n v="3"/>
    <n v="53.08"/>
    <x v="6"/>
    <n v="159.24"/>
    <d v="2025-03-21T20:34:59"/>
    <x v="0"/>
    <s v="1931a6b7-4be5-4bb8-9d52-3d1fa403abc3"/>
  </r>
  <r>
    <s v="ORD200845"/>
    <x v="3"/>
    <x v="2"/>
    <n v="5"/>
    <n v="24.93"/>
    <x v="9"/>
    <n v="124.65"/>
    <d v="2024-08-03T20:34:59"/>
    <x v="4"/>
    <s v="59538ff6-4626-4c67-8c50-80412164640c"/>
  </r>
  <r>
    <s v="ORD200846"/>
    <x v="4"/>
    <x v="0"/>
    <n v="1"/>
    <n v="35.92"/>
    <x v="5"/>
    <n v="35.92"/>
    <d v="2025-02-27T20:34:59"/>
    <x v="4"/>
    <s v="5b8db3dc-fd26-4836-b645-3e7d6f50e1f9"/>
  </r>
  <r>
    <s v="ORD200847"/>
    <x v="0"/>
    <x v="0"/>
    <n v="2"/>
    <n v="28.72"/>
    <x v="9"/>
    <n v="57.44"/>
    <d v="2024-08-07T20:34:59"/>
    <x v="0"/>
    <s v="79752680-7d05-48ce-8817-da660081c760"/>
  </r>
  <r>
    <s v="ORD200848"/>
    <x v="7"/>
    <x v="1"/>
    <n v="5"/>
    <n v="57.7"/>
    <x v="3"/>
    <n v="288.5"/>
    <d v="2024-07-21T20:34:59"/>
    <x v="4"/>
    <s v="569b1e7a-ae62-4581-9da8-4771c4627d42"/>
  </r>
  <r>
    <s v="ORD200849"/>
    <x v="8"/>
    <x v="0"/>
    <n v="3"/>
    <n v="28.88"/>
    <x v="8"/>
    <n v="86.64"/>
    <d v="2024-06-06T20:34:59"/>
    <x v="1"/>
    <s v="4c2970bc-354d-4488-9a68-82e9d1b4db27"/>
  </r>
  <r>
    <s v="ORD200850"/>
    <x v="8"/>
    <x v="0"/>
    <n v="1"/>
    <n v="48.46"/>
    <x v="9"/>
    <n v="48.46"/>
    <d v="2024-08-15T20:34:59"/>
    <x v="1"/>
    <s v="a32b2f63-a489-42e7-aac4-1603329712dd"/>
  </r>
  <r>
    <s v="ORD200851"/>
    <x v="8"/>
    <x v="0"/>
    <n v="5"/>
    <n v="11.95"/>
    <x v="11"/>
    <n v="59.75"/>
    <d v="2024-12-06T20:34:59"/>
    <x v="4"/>
    <s v="c390ebf6-ca85-4f5b-ae4f-a6dae8419576"/>
  </r>
  <r>
    <s v="ORD200852"/>
    <x v="9"/>
    <x v="2"/>
    <n v="5"/>
    <n v="40.39"/>
    <x v="6"/>
    <n v="201.95"/>
    <d v="2025-03-10T20:34:59"/>
    <x v="4"/>
    <s v="a5821315-babc-4fdf-b19f-e582397ad46a"/>
  </r>
  <r>
    <s v="ORD200853"/>
    <x v="10"/>
    <x v="0"/>
    <n v="5"/>
    <n v="47.64"/>
    <x v="7"/>
    <n v="238.2"/>
    <d v="2024-10-27T20:34:59"/>
    <x v="3"/>
    <s v="284010f4-fe75-497e-96a4-0130131478d2"/>
  </r>
  <r>
    <s v="ORD200854"/>
    <x v="9"/>
    <x v="2"/>
    <n v="1"/>
    <n v="41.08"/>
    <x v="1"/>
    <n v="41.08"/>
    <d v="2024-05-11T20:34:59"/>
    <x v="1"/>
    <s v="b272a83b-c292-4ac2-9559-fb28b45813dc"/>
  </r>
  <r>
    <s v="ORD200855"/>
    <x v="3"/>
    <x v="2"/>
    <n v="2"/>
    <n v="43.85"/>
    <x v="1"/>
    <n v="87.7"/>
    <d v="2024-05-23T20:34:59"/>
    <x v="4"/>
    <s v="fed8b146-1e28-40a8-af68-af03d51f1e90"/>
  </r>
  <r>
    <s v="ORD200856"/>
    <x v="9"/>
    <x v="2"/>
    <n v="3"/>
    <n v="35.61"/>
    <x v="2"/>
    <n v="106.83"/>
    <d v="2025-01-15T20:34:59"/>
    <x v="2"/>
    <s v="59f6a123-da90-4d74-9e30-cd6824632c87"/>
  </r>
  <r>
    <s v="ORD200857"/>
    <x v="3"/>
    <x v="2"/>
    <n v="2"/>
    <n v="33.07"/>
    <x v="2"/>
    <n v="66.14"/>
    <d v="2025-01-16T20:34:59"/>
    <x v="1"/>
    <s v="d72d52e0-094b-4d5c-8859-2abb375ddaa2"/>
  </r>
  <r>
    <s v="ORD200858"/>
    <x v="1"/>
    <x v="1"/>
    <n v="3"/>
    <n v="38.29"/>
    <x v="6"/>
    <n v="114.87"/>
    <d v="2025-03-21T20:34:59"/>
    <x v="2"/>
    <s v="7d12b4b0-2e2e-4fe8-82e5-fd7273952675"/>
  </r>
  <r>
    <s v="ORD200859"/>
    <x v="5"/>
    <x v="2"/>
    <n v="4"/>
    <n v="56.6"/>
    <x v="7"/>
    <n v="226.4"/>
    <d v="2024-10-20T20:34:59"/>
    <x v="1"/>
    <s v="9e2eb770-cb84-48f4-9d86-68755c08a816"/>
  </r>
  <r>
    <s v="ORD200860"/>
    <x v="10"/>
    <x v="0"/>
    <n v="3"/>
    <n v="26.7"/>
    <x v="10"/>
    <n v="80.099999999999994"/>
    <d v="2024-04-27T20:34:59"/>
    <x v="1"/>
    <s v="37a7adec-6089-4a3a-8aa2-bdd8733c218a"/>
  </r>
  <r>
    <s v="ORD200861"/>
    <x v="9"/>
    <x v="2"/>
    <n v="2"/>
    <n v="59.99"/>
    <x v="6"/>
    <n v="119.98"/>
    <d v="2025-03-24T20:34:59"/>
    <x v="3"/>
    <s v="a0b00d51-3f08-47dc-858c-9fb84aca9334"/>
  </r>
  <r>
    <s v="ORD200862"/>
    <x v="10"/>
    <x v="0"/>
    <n v="5"/>
    <n v="22.51"/>
    <x v="0"/>
    <n v="112.55000000000001"/>
    <d v="2024-09-14T20:34:59"/>
    <x v="4"/>
    <s v="86d880ca-0604-440a-94c2-e0bc179fd27d"/>
  </r>
  <r>
    <s v="ORD200863"/>
    <x v="9"/>
    <x v="2"/>
    <n v="2"/>
    <n v="17.05"/>
    <x v="10"/>
    <n v="34.1"/>
    <d v="2024-04-29T20:34:59"/>
    <x v="3"/>
    <s v="e6ef4e89-d666-471d-9564-59f1c7d66c27"/>
  </r>
  <r>
    <s v="ORD200864"/>
    <x v="5"/>
    <x v="2"/>
    <n v="3"/>
    <n v="53.15"/>
    <x v="8"/>
    <n v="159.44999999999999"/>
    <d v="2024-06-13T20:34:59"/>
    <x v="3"/>
    <s v="38f48c5c-2b5a-41ef-9f47-268ddbf0523c"/>
  </r>
  <r>
    <s v="ORD200865"/>
    <x v="6"/>
    <x v="1"/>
    <n v="4"/>
    <n v="47.23"/>
    <x v="11"/>
    <n v="188.92"/>
    <d v="2024-12-26T20:34:59"/>
    <x v="2"/>
    <s v="ea8dc299-dc53-41af-9440-92594fff0a8f"/>
  </r>
  <r>
    <s v="ORD200866"/>
    <x v="0"/>
    <x v="0"/>
    <n v="1"/>
    <n v="13.29"/>
    <x v="2"/>
    <n v="13.29"/>
    <d v="2025-01-20T20:34:59"/>
    <x v="3"/>
    <s v="783755fb-ff5d-4600-9303-2bea0506459d"/>
  </r>
  <r>
    <s v="ORD200867"/>
    <x v="6"/>
    <x v="1"/>
    <n v="3"/>
    <n v="24.48"/>
    <x v="8"/>
    <n v="73.44"/>
    <d v="2024-06-10T20:34:59"/>
    <x v="1"/>
    <s v="fe1c31de-7b17-425d-a1cc-100f651c347f"/>
  </r>
  <r>
    <s v="ORD200868"/>
    <x v="6"/>
    <x v="1"/>
    <n v="5"/>
    <n v="12.09"/>
    <x v="11"/>
    <n v="60.45"/>
    <d v="2024-12-17T20:34:59"/>
    <x v="1"/>
    <s v="0b88ac93-c5b6-4b08-bf84-b5a61c117699"/>
  </r>
  <r>
    <s v="ORD200869"/>
    <x v="10"/>
    <x v="0"/>
    <n v="5"/>
    <n v="37.11"/>
    <x v="5"/>
    <n v="185.55"/>
    <d v="2025-02-13T20:34:59"/>
    <x v="1"/>
    <s v="26fc102d-219f-4782-a0b4-42bdcd47a9c1"/>
  </r>
  <r>
    <s v="ORD200870"/>
    <x v="11"/>
    <x v="1"/>
    <n v="3"/>
    <n v="43.73"/>
    <x v="5"/>
    <n v="131.19"/>
    <d v="2025-02-16T20:34:59"/>
    <x v="3"/>
    <s v="3efa9a6c-5ac5-4782-afbf-cad262610bc9"/>
  </r>
  <r>
    <s v="ORD200871"/>
    <x v="0"/>
    <x v="0"/>
    <n v="4"/>
    <n v="30.42"/>
    <x v="4"/>
    <n v="121.68"/>
    <d v="2024-11-02T20:34:59"/>
    <x v="1"/>
    <s v="1646ef62-05d2-4295-804d-c00812804ab3"/>
  </r>
  <r>
    <s v="ORD200872"/>
    <x v="4"/>
    <x v="0"/>
    <n v="4"/>
    <n v="35.950000000000003"/>
    <x v="1"/>
    <n v="143.80000000000001"/>
    <d v="2024-05-31T20:34:59"/>
    <x v="2"/>
    <s v="f8c47a1d-317a-46d3-8a0c-8875fff29591"/>
  </r>
  <r>
    <s v="ORD200873"/>
    <x v="2"/>
    <x v="1"/>
    <n v="1"/>
    <n v="39.57"/>
    <x v="11"/>
    <n v="39.57"/>
    <d v="2024-12-28T20:34:59"/>
    <x v="4"/>
    <s v="13b8dfa4-f55b-4159-b203-0f18973f3aae"/>
  </r>
  <r>
    <s v="ORD200874"/>
    <x v="4"/>
    <x v="0"/>
    <n v="4"/>
    <n v="12.8"/>
    <x v="4"/>
    <n v="51.2"/>
    <d v="2024-11-27T20:34:59"/>
    <x v="3"/>
    <s v="27fe75e8-45cf-4b5f-86e0-ca692cc03513"/>
  </r>
  <r>
    <s v="ORD200875"/>
    <x v="8"/>
    <x v="0"/>
    <n v="5"/>
    <n v="31.04"/>
    <x v="1"/>
    <n v="155.19999999999999"/>
    <d v="2024-05-26T20:34:59"/>
    <x v="3"/>
    <s v="b0bc2001-16e9-467b-9683-4e664570e87c"/>
  </r>
  <r>
    <s v="ORD200876"/>
    <x v="10"/>
    <x v="0"/>
    <n v="2"/>
    <n v="33.700000000000003"/>
    <x v="6"/>
    <n v="67.400000000000006"/>
    <d v="2025-03-09T20:34:59"/>
    <x v="1"/>
    <s v="03b9758a-6f4b-4c19-8c5b-4e0677fbb49c"/>
  </r>
  <r>
    <s v="ORD200877"/>
    <x v="5"/>
    <x v="2"/>
    <n v="3"/>
    <n v="55.45"/>
    <x v="7"/>
    <n v="166.35000000000002"/>
    <d v="2024-10-18T20:34:59"/>
    <x v="3"/>
    <s v="788a2afe-2fdf-4787-a830-35f5a537f0f2"/>
  </r>
  <r>
    <s v="ORD200878"/>
    <x v="11"/>
    <x v="1"/>
    <n v="4"/>
    <n v="13.74"/>
    <x v="6"/>
    <n v="54.96"/>
    <d v="2025-03-10T20:34:59"/>
    <x v="0"/>
    <s v="3767fa00-2fbb-434d-b721-66ae5fd8ad38"/>
  </r>
  <r>
    <s v="ORD200879"/>
    <x v="2"/>
    <x v="1"/>
    <n v="1"/>
    <n v="52.81"/>
    <x v="11"/>
    <n v="52.81"/>
    <d v="2024-12-26T20:34:59"/>
    <x v="4"/>
    <s v="48f99ffb-4f0a-4d61-87a4-c2bed0d9f967"/>
  </r>
  <r>
    <s v="ORD200880"/>
    <x v="10"/>
    <x v="0"/>
    <n v="2"/>
    <n v="36.450000000000003"/>
    <x v="10"/>
    <n v="72.900000000000006"/>
    <d v="2024-04-09T20:34:59"/>
    <x v="2"/>
    <s v="9e07b4e0-c20e-4bbf-b257-a6fbbb10f5c1"/>
  </r>
  <r>
    <s v="ORD200881"/>
    <x v="9"/>
    <x v="2"/>
    <n v="2"/>
    <n v="38.58"/>
    <x v="6"/>
    <n v="77.16"/>
    <d v="2025-03-13T20:34:59"/>
    <x v="2"/>
    <s v="2ac2ac32-ec7f-4d9f-a878-21646a94a9fb"/>
  </r>
  <r>
    <s v="ORD200882"/>
    <x v="11"/>
    <x v="1"/>
    <n v="2"/>
    <n v="46.82"/>
    <x v="3"/>
    <n v="93.64"/>
    <d v="2024-07-10T20:34:59"/>
    <x v="2"/>
    <s v="668ebfda-6c62-48d3-ab14-e1f7a009a2f0"/>
  </r>
  <r>
    <s v="ORD200883"/>
    <x v="10"/>
    <x v="0"/>
    <n v="4"/>
    <n v="25.89"/>
    <x v="10"/>
    <n v="103.56"/>
    <d v="2024-04-09T20:34:59"/>
    <x v="1"/>
    <s v="1b3f8dea-3105-4113-b98e-5d6335b343f6"/>
  </r>
  <r>
    <s v="ORD200884"/>
    <x v="2"/>
    <x v="1"/>
    <n v="3"/>
    <n v="45.78"/>
    <x v="7"/>
    <n v="137.34"/>
    <d v="2024-10-25T20:34:59"/>
    <x v="2"/>
    <s v="2238ddf7-4e83-44f2-826d-8ee3277845ac"/>
  </r>
  <r>
    <s v="ORD200885"/>
    <x v="2"/>
    <x v="1"/>
    <n v="1"/>
    <n v="53.67"/>
    <x v="1"/>
    <n v="53.67"/>
    <d v="2024-05-04T20:34:59"/>
    <x v="0"/>
    <s v="76e2af51-5ae4-4946-b2b0-db12e14ca723"/>
  </r>
  <r>
    <s v="ORD200886"/>
    <x v="8"/>
    <x v="0"/>
    <n v="2"/>
    <n v="36.71"/>
    <x v="7"/>
    <n v="73.42"/>
    <d v="2024-10-18T20:34:59"/>
    <x v="0"/>
    <s v="903c1968-749f-4942-92cf-052bcf1d9544"/>
  </r>
  <r>
    <s v="ORD200887"/>
    <x v="9"/>
    <x v="2"/>
    <n v="2"/>
    <n v="59.23"/>
    <x v="7"/>
    <n v="118.46"/>
    <d v="2024-10-05T20:34:59"/>
    <x v="4"/>
    <s v="b17c3083-bead-4177-ba7f-b2537e5fce55"/>
  </r>
  <r>
    <s v="ORD200888"/>
    <x v="8"/>
    <x v="0"/>
    <n v="2"/>
    <n v="34.08"/>
    <x v="5"/>
    <n v="68.16"/>
    <d v="2025-02-14T20:34:59"/>
    <x v="2"/>
    <s v="50c4eb50-5fc4-451a-90d0-948709c03642"/>
  </r>
  <r>
    <s v="ORD200889"/>
    <x v="10"/>
    <x v="0"/>
    <n v="5"/>
    <n v="51.49"/>
    <x v="1"/>
    <n v="257.45"/>
    <d v="2024-05-02T20:34:59"/>
    <x v="1"/>
    <s v="75b8248e-5510-49bb-9bcb-0deaf016d344"/>
  </r>
  <r>
    <s v="ORD200890"/>
    <x v="9"/>
    <x v="2"/>
    <n v="4"/>
    <n v="32.799999999999997"/>
    <x v="5"/>
    <n v="131.19999999999999"/>
    <d v="2025-02-08T20:34:59"/>
    <x v="2"/>
    <s v="0ea1c9cc-d424-45d8-9dc1-67fd2a16c375"/>
  </r>
  <r>
    <s v="ORD200891"/>
    <x v="6"/>
    <x v="1"/>
    <n v="4"/>
    <n v="20.34"/>
    <x v="5"/>
    <n v="81.36"/>
    <d v="2025-02-20T20:34:59"/>
    <x v="0"/>
    <s v="567d00cd-10b4-46a6-9a91-357a66b1782d"/>
  </r>
  <r>
    <s v="ORD200892"/>
    <x v="3"/>
    <x v="2"/>
    <n v="4"/>
    <n v="10.84"/>
    <x v="7"/>
    <n v="43.36"/>
    <d v="2024-10-29T20:34:59"/>
    <x v="2"/>
    <s v="f7588686-cb34-4c0d-b814-02d05f195737"/>
  </r>
  <r>
    <s v="ORD200893"/>
    <x v="4"/>
    <x v="0"/>
    <n v="2"/>
    <n v="51.14"/>
    <x v="7"/>
    <n v="102.28"/>
    <d v="2024-10-16T20:34:59"/>
    <x v="3"/>
    <s v="78c8228b-e318-4117-99de-865026bebc07"/>
  </r>
  <r>
    <s v="ORD200894"/>
    <x v="1"/>
    <x v="1"/>
    <n v="1"/>
    <n v="50.42"/>
    <x v="6"/>
    <n v="50.42"/>
    <d v="2025-03-11T20:34:59"/>
    <x v="3"/>
    <s v="4d7e01c7-f6c8-42bd-b51c-7869421bba72"/>
  </r>
  <r>
    <s v="ORD200895"/>
    <x v="0"/>
    <x v="0"/>
    <n v="4"/>
    <n v="45.06"/>
    <x v="4"/>
    <n v="180.24"/>
    <d v="2024-11-02T20:34:59"/>
    <x v="3"/>
    <s v="1355840a-4518-4acc-897a-b107102b14d1"/>
  </r>
  <r>
    <s v="ORD200896"/>
    <x v="1"/>
    <x v="1"/>
    <n v="5"/>
    <n v="26.73"/>
    <x v="7"/>
    <n v="133.65"/>
    <d v="2024-10-06T20:34:59"/>
    <x v="1"/>
    <s v="de61132a-9669-4e7d-b7e6-25ced35f6b79"/>
  </r>
  <r>
    <s v="ORD200897"/>
    <x v="1"/>
    <x v="1"/>
    <n v="2"/>
    <n v="13.68"/>
    <x v="6"/>
    <n v="27.36"/>
    <d v="2025-03-21T20:34:59"/>
    <x v="2"/>
    <s v="ad86a3c9-4e20-4757-a8ef-6d19b61eff51"/>
  </r>
  <r>
    <s v="ORD200898"/>
    <x v="1"/>
    <x v="1"/>
    <n v="4"/>
    <n v="17.11"/>
    <x v="5"/>
    <n v="68.44"/>
    <d v="2025-02-15T20:34:59"/>
    <x v="2"/>
    <s v="183968c8-09b5-4a24-9c7f-9ba8d36f91b8"/>
  </r>
  <r>
    <s v="ORD200899"/>
    <x v="5"/>
    <x v="2"/>
    <n v="2"/>
    <n v="28.44"/>
    <x v="4"/>
    <n v="56.88"/>
    <d v="2024-11-02T20:34:59"/>
    <x v="0"/>
    <s v="5bd51eaa-53aa-419b-9e15-bc4a74517c21"/>
  </r>
  <r>
    <s v="ORD200900"/>
    <x v="0"/>
    <x v="0"/>
    <n v="4"/>
    <n v="44.58"/>
    <x v="6"/>
    <n v="178.32"/>
    <d v="2025-03-03T20:34:59"/>
    <x v="2"/>
    <s v="875726da-3ecc-4f8e-ab7e-9dc9cb8ba7fa"/>
  </r>
  <r>
    <s v="ORD200901"/>
    <x v="3"/>
    <x v="2"/>
    <n v="4"/>
    <n v="47.08"/>
    <x v="11"/>
    <n v="188.32"/>
    <d v="2024-12-10T20:34:59"/>
    <x v="3"/>
    <s v="36342b4d-b934-49c0-81e8-07d2d2fea7e5"/>
  </r>
  <r>
    <s v="ORD200902"/>
    <x v="1"/>
    <x v="1"/>
    <n v="1"/>
    <n v="42.74"/>
    <x v="9"/>
    <n v="42.74"/>
    <d v="2024-08-07T20:34:59"/>
    <x v="0"/>
    <s v="abd83f87-bef7-4970-9b30-67e477a4b744"/>
  </r>
  <r>
    <s v="ORD200903"/>
    <x v="1"/>
    <x v="1"/>
    <n v="3"/>
    <n v="51.09"/>
    <x v="7"/>
    <n v="153.27000000000001"/>
    <d v="2024-10-05T20:34:59"/>
    <x v="0"/>
    <s v="1a9173cd-e897-41c7-9efe-cf121f07e607"/>
  </r>
  <r>
    <s v="ORD200904"/>
    <x v="6"/>
    <x v="1"/>
    <n v="1"/>
    <n v="15.56"/>
    <x v="6"/>
    <n v="15.56"/>
    <d v="2025-03-01T20:34:59"/>
    <x v="0"/>
    <s v="42be8b8f-1b42-4ee5-9d7a-a7ffdd13197b"/>
  </r>
  <r>
    <s v="ORD200905"/>
    <x v="4"/>
    <x v="0"/>
    <n v="1"/>
    <n v="11.55"/>
    <x v="10"/>
    <n v="11.55"/>
    <d v="2024-04-26T20:34:59"/>
    <x v="0"/>
    <s v="5b866f0a-bb6d-4f52-89af-c6947317ae9f"/>
  </r>
  <r>
    <s v="ORD200906"/>
    <x v="3"/>
    <x v="2"/>
    <n v="3"/>
    <n v="25.49"/>
    <x v="2"/>
    <n v="76.47"/>
    <d v="2025-01-24T20:34:59"/>
    <x v="4"/>
    <s v="df37a54e-1afb-4246-88f2-b789e1247b9e"/>
  </r>
  <r>
    <s v="ORD200907"/>
    <x v="11"/>
    <x v="1"/>
    <n v="2"/>
    <n v="40.46"/>
    <x v="1"/>
    <n v="80.92"/>
    <d v="2024-05-19T20:34:59"/>
    <x v="3"/>
    <s v="34393d60-a024-49b0-8601-2c4a11c75bcd"/>
  </r>
  <r>
    <s v="ORD200908"/>
    <x v="6"/>
    <x v="1"/>
    <n v="5"/>
    <n v="36.29"/>
    <x v="5"/>
    <n v="181.45"/>
    <d v="2025-02-17T20:34:59"/>
    <x v="4"/>
    <s v="d8b6e652-15ae-42ae-85fd-748d06de2ed3"/>
  </r>
  <r>
    <s v="ORD200909"/>
    <x v="2"/>
    <x v="1"/>
    <n v="4"/>
    <n v="33.43"/>
    <x v="11"/>
    <n v="133.72"/>
    <d v="2024-12-27T20:34:59"/>
    <x v="3"/>
    <s v="e36c90ed-a07e-4ea7-b1f8-ee1eae9a915d"/>
  </r>
  <r>
    <s v="ORD200910"/>
    <x v="0"/>
    <x v="0"/>
    <n v="1"/>
    <n v="59.3"/>
    <x v="11"/>
    <n v="59.3"/>
    <d v="2024-12-26T20:34:59"/>
    <x v="0"/>
    <s v="90a990a6-de75-4874-87bc-767323603239"/>
  </r>
  <r>
    <s v="ORD200911"/>
    <x v="3"/>
    <x v="2"/>
    <n v="5"/>
    <n v="34.619999999999997"/>
    <x v="4"/>
    <n v="173.1"/>
    <d v="2024-11-01T20:34:59"/>
    <x v="4"/>
    <s v="2840f97a-87e0-4b65-b158-ac1deff0a76d"/>
  </r>
  <r>
    <s v="ORD200912"/>
    <x v="0"/>
    <x v="0"/>
    <n v="5"/>
    <n v="52.69"/>
    <x v="5"/>
    <n v="263.45"/>
    <d v="2025-02-21T20:34:59"/>
    <x v="4"/>
    <s v="18a1a310-94e9-485c-9b83-2a44ecf55119"/>
  </r>
  <r>
    <s v="ORD200913"/>
    <x v="4"/>
    <x v="0"/>
    <n v="3"/>
    <n v="48.86"/>
    <x v="4"/>
    <n v="146.57999999999998"/>
    <d v="2024-11-29T20:34:59"/>
    <x v="2"/>
    <s v="5a68929b-7ecc-4ef3-ab5d-c051123fa1bc"/>
  </r>
  <r>
    <s v="ORD200914"/>
    <x v="8"/>
    <x v="0"/>
    <n v="4"/>
    <n v="51.77"/>
    <x v="1"/>
    <n v="207.08"/>
    <d v="2024-05-13T20:34:59"/>
    <x v="2"/>
    <s v="b69d2214-3bd5-421a-84a7-cc49f6dd4f0b"/>
  </r>
  <r>
    <s v="ORD200915"/>
    <x v="6"/>
    <x v="1"/>
    <n v="5"/>
    <n v="38.869999999999997"/>
    <x v="11"/>
    <n v="194.35"/>
    <d v="2024-12-24T20:34:59"/>
    <x v="4"/>
    <s v="820ab162-cad3-493b-b30a-0930462f524e"/>
  </r>
  <r>
    <s v="ORD200916"/>
    <x v="9"/>
    <x v="2"/>
    <n v="5"/>
    <n v="12.43"/>
    <x v="11"/>
    <n v="62.15"/>
    <d v="2024-12-05T20:34:59"/>
    <x v="3"/>
    <s v="e3e339f4-ec7c-489b-918d-3630b657fdc2"/>
  </r>
  <r>
    <s v="ORD200917"/>
    <x v="9"/>
    <x v="2"/>
    <n v="5"/>
    <n v="53.02"/>
    <x v="2"/>
    <n v="265.10000000000002"/>
    <d v="2025-01-31T20:34:59"/>
    <x v="4"/>
    <s v="35fce1fa-090a-4dca-b6b5-b1843c2fbb39"/>
  </r>
  <r>
    <s v="ORD200918"/>
    <x v="8"/>
    <x v="0"/>
    <n v="5"/>
    <n v="45.36"/>
    <x v="2"/>
    <n v="226.8"/>
    <d v="2025-01-13T20:34:59"/>
    <x v="3"/>
    <s v="1c1005cc-0904-4dcf-9962-e48c890dbb01"/>
  </r>
  <r>
    <s v="ORD200919"/>
    <x v="2"/>
    <x v="1"/>
    <n v="1"/>
    <n v="46.92"/>
    <x v="3"/>
    <n v="46.92"/>
    <d v="2024-07-24T20:34:59"/>
    <x v="4"/>
    <s v="3c387e9b-ef36-41b0-b463-acd4f486fffa"/>
  </r>
  <r>
    <s v="ORD200920"/>
    <x v="1"/>
    <x v="1"/>
    <n v="2"/>
    <n v="35.96"/>
    <x v="8"/>
    <n v="71.92"/>
    <d v="2024-06-07T20:34:59"/>
    <x v="3"/>
    <s v="9f72b100-7778-4aef-ac7b-03045b9bef42"/>
  </r>
  <r>
    <s v="ORD200921"/>
    <x v="7"/>
    <x v="1"/>
    <n v="5"/>
    <n v="59.55"/>
    <x v="0"/>
    <n v="297.75"/>
    <d v="2024-09-04T20:34:59"/>
    <x v="3"/>
    <s v="c8069104-85dc-4444-855f-82ce76252059"/>
  </r>
  <r>
    <s v="ORD200922"/>
    <x v="10"/>
    <x v="0"/>
    <n v="2"/>
    <n v="35.090000000000003"/>
    <x v="6"/>
    <n v="70.180000000000007"/>
    <d v="2025-03-28T20:34:59"/>
    <x v="0"/>
    <s v="02dc5e06-f574-4bc6-bb8a-0def6c71949e"/>
  </r>
  <r>
    <s v="ORD200923"/>
    <x v="3"/>
    <x v="2"/>
    <n v="5"/>
    <n v="19.63"/>
    <x v="8"/>
    <n v="98.149999999999991"/>
    <d v="2024-06-15T20:34:59"/>
    <x v="2"/>
    <s v="75b3bd70-6524-4acf-a939-fc0455fac745"/>
  </r>
  <r>
    <s v="ORD200924"/>
    <x v="4"/>
    <x v="0"/>
    <n v="5"/>
    <n v="17.649999999999999"/>
    <x v="0"/>
    <n v="88.25"/>
    <d v="2024-09-29T20:34:59"/>
    <x v="2"/>
    <s v="82d0b803-b840-4ad2-8901-0c31600fc184"/>
  </r>
  <r>
    <s v="ORD200925"/>
    <x v="2"/>
    <x v="1"/>
    <n v="1"/>
    <n v="46.43"/>
    <x v="7"/>
    <n v="46.43"/>
    <d v="2024-10-27T20:34:59"/>
    <x v="1"/>
    <s v="203bb539-b367-46c8-acf4-299963086ca2"/>
  </r>
  <r>
    <s v="ORD200926"/>
    <x v="3"/>
    <x v="2"/>
    <n v="4"/>
    <n v="36.869999999999997"/>
    <x v="8"/>
    <n v="147.47999999999999"/>
    <d v="2024-06-13T20:34:59"/>
    <x v="4"/>
    <s v="d05c40a0-2e5d-443e-950f-1ecb329226ee"/>
  </r>
  <r>
    <s v="ORD200927"/>
    <x v="9"/>
    <x v="2"/>
    <n v="1"/>
    <n v="46.1"/>
    <x v="7"/>
    <n v="46.1"/>
    <d v="2024-10-31T20:34:59"/>
    <x v="2"/>
    <s v="2a848adf-9601-479f-8734-73a75731a4c0"/>
  </r>
  <r>
    <s v="ORD200928"/>
    <x v="3"/>
    <x v="2"/>
    <n v="4"/>
    <n v="50.09"/>
    <x v="11"/>
    <n v="200.36"/>
    <d v="2024-12-03T20:34:59"/>
    <x v="2"/>
    <s v="58cc261a-91ed-45c8-9133-5631dda78702"/>
  </r>
  <r>
    <s v="ORD200929"/>
    <x v="9"/>
    <x v="2"/>
    <n v="5"/>
    <n v="59.87"/>
    <x v="4"/>
    <n v="299.34999999999997"/>
    <d v="2024-11-18T20:34:59"/>
    <x v="2"/>
    <s v="e3635686-30c8-4600-ab5b-405038a501e9"/>
  </r>
  <r>
    <s v="ORD200930"/>
    <x v="3"/>
    <x v="2"/>
    <n v="2"/>
    <n v="26.4"/>
    <x v="7"/>
    <n v="52.8"/>
    <d v="2024-10-01T20:34:59"/>
    <x v="3"/>
    <s v="243c62fb-f522-4566-943e-d0b682c7c57e"/>
  </r>
  <r>
    <s v="ORD200931"/>
    <x v="3"/>
    <x v="2"/>
    <n v="4"/>
    <n v="43.3"/>
    <x v="4"/>
    <n v="173.2"/>
    <d v="2024-11-26T20:34:59"/>
    <x v="3"/>
    <s v="55bb4b19-c3ef-4190-9f9e-762672c9be45"/>
  </r>
  <r>
    <s v="ORD200932"/>
    <x v="9"/>
    <x v="2"/>
    <n v="2"/>
    <n v="39.28"/>
    <x v="5"/>
    <n v="78.56"/>
    <d v="2025-02-27T20:34:59"/>
    <x v="4"/>
    <s v="e9dd3f6e-1563-4803-9e27-233332a4fe58"/>
  </r>
  <r>
    <s v="ORD200933"/>
    <x v="5"/>
    <x v="2"/>
    <n v="2"/>
    <n v="16.989999999999998"/>
    <x v="11"/>
    <n v="33.979999999999997"/>
    <d v="2024-12-20T20:34:59"/>
    <x v="1"/>
    <s v="5bbb60ae-e2d5-49cf-84d1-b30bf696ba44"/>
  </r>
  <r>
    <s v="ORD200934"/>
    <x v="6"/>
    <x v="1"/>
    <n v="2"/>
    <n v="53.51"/>
    <x v="11"/>
    <n v="107.02"/>
    <d v="2024-12-27T20:34:59"/>
    <x v="1"/>
    <s v="c72d4fee-dcbc-4648-a33e-0281ecbabe7f"/>
  </r>
  <r>
    <s v="ORD200935"/>
    <x v="6"/>
    <x v="1"/>
    <n v="1"/>
    <n v="16.64"/>
    <x v="1"/>
    <n v="16.64"/>
    <d v="2024-05-12T20:34:59"/>
    <x v="3"/>
    <s v="caa83b80-e6c6-470c-94ff-12ce9a1d9462"/>
  </r>
  <r>
    <s v="ORD200936"/>
    <x v="2"/>
    <x v="1"/>
    <n v="2"/>
    <n v="31.18"/>
    <x v="4"/>
    <n v="62.36"/>
    <d v="2024-11-22T20:34:59"/>
    <x v="4"/>
    <s v="7e4c4203-35b9-4e0d-b083-5a6b5a1a0ba3"/>
  </r>
  <r>
    <s v="ORD200937"/>
    <x v="3"/>
    <x v="2"/>
    <n v="5"/>
    <n v="46.97"/>
    <x v="8"/>
    <n v="234.85"/>
    <d v="2024-06-27T20:34:59"/>
    <x v="0"/>
    <s v="1cddba8a-b119-4a55-8566-71d0d2b9e4cc"/>
  </r>
  <r>
    <s v="ORD200938"/>
    <x v="6"/>
    <x v="1"/>
    <n v="1"/>
    <n v="27.56"/>
    <x v="1"/>
    <n v="27.56"/>
    <d v="2024-05-16T20:34:59"/>
    <x v="1"/>
    <s v="8a780223-ac99-4336-a2ef-b071a7843095"/>
  </r>
  <r>
    <s v="ORD200939"/>
    <x v="7"/>
    <x v="1"/>
    <n v="3"/>
    <n v="34.200000000000003"/>
    <x v="5"/>
    <n v="102.60000000000001"/>
    <d v="2025-02-19T20:34:59"/>
    <x v="4"/>
    <s v="4d81ae26-5a1c-4fa6-94bf-5151a510ef9b"/>
  </r>
  <r>
    <s v="ORD200940"/>
    <x v="0"/>
    <x v="0"/>
    <n v="5"/>
    <n v="50.55"/>
    <x v="8"/>
    <n v="252.75"/>
    <d v="2024-06-26T20:34:59"/>
    <x v="0"/>
    <s v="408b62f1-37ee-4ea1-9cce-56d2d2080ff1"/>
  </r>
  <r>
    <s v="ORD200941"/>
    <x v="11"/>
    <x v="1"/>
    <n v="5"/>
    <n v="52.61"/>
    <x v="1"/>
    <n v="263.05"/>
    <d v="2024-05-07T20:34:59"/>
    <x v="1"/>
    <s v="1b7fe252-102c-4575-9fde-5c722aad4dc6"/>
  </r>
  <r>
    <s v="ORD200942"/>
    <x v="0"/>
    <x v="0"/>
    <n v="2"/>
    <n v="45.65"/>
    <x v="2"/>
    <n v="91.3"/>
    <d v="2025-01-15T20:34:59"/>
    <x v="3"/>
    <s v="38028ce2-a7c2-4f55-8a78-fc597bfa8a2e"/>
  </r>
  <r>
    <s v="ORD200943"/>
    <x v="4"/>
    <x v="0"/>
    <n v="1"/>
    <n v="48.9"/>
    <x v="7"/>
    <n v="48.9"/>
    <d v="2024-10-20T20:34:59"/>
    <x v="0"/>
    <s v="70c3ff84-5cd1-499a-a533-7852aa905ae7"/>
  </r>
  <r>
    <s v="ORD200944"/>
    <x v="6"/>
    <x v="1"/>
    <n v="5"/>
    <n v="41.7"/>
    <x v="7"/>
    <n v="208.5"/>
    <d v="2024-10-22T20:34:59"/>
    <x v="3"/>
    <s v="95a8d12a-353c-46e2-b952-0e541e451052"/>
  </r>
  <r>
    <s v="ORD200945"/>
    <x v="7"/>
    <x v="1"/>
    <n v="4"/>
    <n v="53.61"/>
    <x v="10"/>
    <n v="214.44"/>
    <d v="2024-04-16T20:34:59"/>
    <x v="1"/>
    <s v="2b38bb77-5fc8-4478-99a6-d5c2729c3339"/>
  </r>
  <r>
    <s v="ORD200946"/>
    <x v="4"/>
    <x v="0"/>
    <n v="4"/>
    <n v="34.450000000000003"/>
    <x v="0"/>
    <n v="137.80000000000001"/>
    <d v="2024-09-03T20:34:59"/>
    <x v="1"/>
    <s v="41ecba3c-5c80-4ab2-8f18-7770bd272094"/>
  </r>
  <r>
    <s v="ORD200947"/>
    <x v="4"/>
    <x v="0"/>
    <n v="5"/>
    <n v="26.67"/>
    <x v="9"/>
    <n v="133.35000000000002"/>
    <d v="2024-08-11T20:34:59"/>
    <x v="1"/>
    <s v="e4af478a-ff3e-4a58-b4ca-7e961a77a18e"/>
  </r>
  <r>
    <s v="ORD200948"/>
    <x v="10"/>
    <x v="0"/>
    <n v="3"/>
    <n v="56.65"/>
    <x v="3"/>
    <n v="169.95"/>
    <d v="2024-07-10T20:34:59"/>
    <x v="2"/>
    <s v="b01e03fb-b317-4251-8447-8ddc00f79524"/>
  </r>
  <r>
    <s v="ORD200949"/>
    <x v="9"/>
    <x v="2"/>
    <n v="3"/>
    <n v="38.25"/>
    <x v="4"/>
    <n v="114.75"/>
    <d v="2024-11-30T20:34:59"/>
    <x v="4"/>
    <s v="f00dd23c-a5ae-4d70-9fd8-d4e0f92e9dc2"/>
  </r>
  <r>
    <s v="ORD200950"/>
    <x v="9"/>
    <x v="2"/>
    <n v="5"/>
    <n v="11.42"/>
    <x v="6"/>
    <n v="57.1"/>
    <d v="2025-03-30T20:34:59"/>
    <x v="1"/>
    <s v="26175410-3d3d-45d6-a0f7-f007e5bc50f8"/>
  </r>
  <r>
    <s v="ORD200951"/>
    <x v="3"/>
    <x v="2"/>
    <n v="2"/>
    <n v="12.7"/>
    <x v="0"/>
    <n v="25.4"/>
    <d v="2024-09-23T20:34:59"/>
    <x v="3"/>
    <s v="e6bf7260-98f6-4686-85ac-5ee026bf76d9"/>
  </r>
  <r>
    <s v="ORD200952"/>
    <x v="3"/>
    <x v="2"/>
    <n v="3"/>
    <n v="57.17"/>
    <x v="3"/>
    <n v="171.51"/>
    <d v="2024-07-11T20:34:59"/>
    <x v="0"/>
    <s v="7b2c73cb-fb09-42e3-82a4-259183e3800c"/>
  </r>
  <r>
    <s v="ORD200953"/>
    <x v="10"/>
    <x v="0"/>
    <n v="1"/>
    <n v="17.29"/>
    <x v="1"/>
    <n v="17.29"/>
    <d v="2024-05-07T20:34:59"/>
    <x v="1"/>
    <s v="00616acb-7df2-456d-8d58-014bddc569d3"/>
  </r>
  <r>
    <s v="ORD200954"/>
    <x v="4"/>
    <x v="0"/>
    <n v="5"/>
    <n v="31.05"/>
    <x v="6"/>
    <n v="155.25"/>
    <d v="2025-03-29T20:34:59"/>
    <x v="2"/>
    <s v="7ecc6b8a-efed-41e7-a341-27f0e26afb15"/>
  </r>
  <r>
    <s v="ORD200955"/>
    <x v="7"/>
    <x v="1"/>
    <n v="3"/>
    <n v="42.42"/>
    <x v="7"/>
    <n v="127.26"/>
    <d v="2024-10-09T20:34:59"/>
    <x v="2"/>
    <s v="6d3b95fe-a3b4-45b1-a8dd-655965876b00"/>
  </r>
  <r>
    <s v="ORD200956"/>
    <x v="9"/>
    <x v="2"/>
    <n v="3"/>
    <n v="32.06"/>
    <x v="7"/>
    <n v="96.18"/>
    <d v="2024-10-12T20:34:59"/>
    <x v="0"/>
    <s v="bb0db43c-f6e8-4c46-9bb7-29f92405d568"/>
  </r>
  <r>
    <s v="ORD200957"/>
    <x v="5"/>
    <x v="2"/>
    <n v="4"/>
    <n v="43.88"/>
    <x v="9"/>
    <n v="175.52"/>
    <d v="2024-08-11T20:34:59"/>
    <x v="3"/>
    <s v="cbe3725a-6733-4d49-b240-6cba96574da0"/>
  </r>
  <r>
    <s v="ORD200958"/>
    <x v="8"/>
    <x v="0"/>
    <n v="3"/>
    <n v="29.22"/>
    <x v="7"/>
    <n v="87.66"/>
    <d v="2024-10-14T20:34:59"/>
    <x v="3"/>
    <s v="894fefa7-05f0-48ea-82ca-551bcfc8083a"/>
  </r>
  <r>
    <s v="ORD200959"/>
    <x v="8"/>
    <x v="0"/>
    <n v="4"/>
    <n v="38.99"/>
    <x v="8"/>
    <n v="155.96"/>
    <d v="2024-06-05T20:34:59"/>
    <x v="0"/>
    <s v="ccff10b6-9eb3-4172-a8a9-f022f5462d79"/>
  </r>
  <r>
    <s v="ORD200960"/>
    <x v="1"/>
    <x v="1"/>
    <n v="4"/>
    <n v="33.85"/>
    <x v="1"/>
    <n v="135.4"/>
    <d v="2024-05-10T20:34:59"/>
    <x v="1"/>
    <s v="864b08e7-8cf0-4b12-b0aa-5dbe237892b2"/>
  </r>
  <r>
    <s v="ORD200961"/>
    <x v="1"/>
    <x v="1"/>
    <n v="3"/>
    <n v="20.23"/>
    <x v="8"/>
    <n v="60.69"/>
    <d v="2024-06-06T20:34:59"/>
    <x v="3"/>
    <s v="29d8bc39-57ab-4a3c-a5e2-ac259f7b636a"/>
  </r>
  <r>
    <s v="ORD200962"/>
    <x v="5"/>
    <x v="2"/>
    <n v="1"/>
    <n v="35.71"/>
    <x v="11"/>
    <n v="35.71"/>
    <d v="2024-12-02T20:34:59"/>
    <x v="1"/>
    <s v="5a1f01f4-bf3e-452d-beb5-4c27f7433e14"/>
  </r>
  <r>
    <s v="ORD200963"/>
    <x v="0"/>
    <x v="0"/>
    <n v="2"/>
    <n v="14.63"/>
    <x v="4"/>
    <n v="29.26"/>
    <d v="2024-11-28T20:34:59"/>
    <x v="2"/>
    <s v="a8d23752-f996-4adf-b281-ea01475b47bf"/>
  </r>
  <r>
    <s v="ORD200964"/>
    <x v="5"/>
    <x v="2"/>
    <n v="1"/>
    <n v="24.57"/>
    <x v="7"/>
    <n v="24.57"/>
    <d v="2024-10-15T20:34:59"/>
    <x v="3"/>
    <s v="d9e6a763-8c46-486a-a9b7-f9ad2703727e"/>
  </r>
  <r>
    <s v="ORD200965"/>
    <x v="9"/>
    <x v="2"/>
    <n v="4"/>
    <n v="32.75"/>
    <x v="9"/>
    <n v="131"/>
    <d v="2024-08-10T20:34:59"/>
    <x v="3"/>
    <s v="d5dabe2e-df70-414c-8d52-3c6289e77d57"/>
  </r>
  <r>
    <s v="ORD200966"/>
    <x v="6"/>
    <x v="1"/>
    <n v="1"/>
    <n v="10.68"/>
    <x v="3"/>
    <n v="10.68"/>
    <d v="2024-07-15T20:34:59"/>
    <x v="1"/>
    <s v="19d5ff93-b4c5-420b-a8da-1c59f454ada6"/>
  </r>
  <r>
    <s v="ORD200967"/>
    <x v="5"/>
    <x v="2"/>
    <n v="4"/>
    <n v="23.84"/>
    <x v="12"/>
    <n v="95.36"/>
    <d v="2025-04-03T20:34:59"/>
    <x v="3"/>
    <s v="2d548d82-d811-450a-bebb-7224562904c4"/>
  </r>
  <r>
    <s v="ORD200968"/>
    <x v="5"/>
    <x v="2"/>
    <n v="1"/>
    <n v="53.4"/>
    <x v="11"/>
    <n v="53.4"/>
    <d v="2024-12-04T20:34:59"/>
    <x v="0"/>
    <s v="a515a283-a920-42c8-9085-285754fc2b8a"/>
  </r>
  <r>
    <s v="ORD200969"/>
    <x v="10"/>
    <x v="0"/>
    <n v="2"/>
    <n v="16.53"/>
    <x v="3"/>
    <n v="33.06"/>
    <d v="2024-07-18T20:34:59"/>
    <x v="1"/>
    <s v="d93266b4-6504-4301-8983-383808249ef2"/>
  </r>
  <r>
    <s v="ORD200970"/>
    <x v="10"/>
    <x v="0"/>
    <n v="1"/>
    <n v="40.18"/>
    <x v="1"/>
    <n v="40.18"/>
    <d v="2024-05-26T20:34:59"/>
    <x v="1"/>
    <s v="1fb7f9d5-026e-4c73-b03c-95214776efa1"/>
  </r>
  <r>
    <s v="ORD200971"/>
    <x v="6"/>
    <x v="1"/>
    <n v="4"/>
    <n v="19.03"/>
    <x v="1"/>
    <n v="76.12"/>
    <d v="2024-05-16T20:34:59"/>
    <x v="0"/>
    <s v="f68cc635-bf05-4b4a-ada6-161eed37f131"/>
  </r>
  <r>
    <s v="ORD200972"/>
    <x v="1"/>
    <x v="1"/>
    <n v="4"/>
    <n v="36.4"/>
    <x v="6"/>
    <n v="145.6"/>
    <d v="2025-03-04T20:34:59"/>
    <x v="1"/>
    <s v="71c0b39b-1b02-47ed-841f-a48501fb581c"/>
  </r>
  <r>
    <s v="ORD200973"/>
    <x v="9"/>
    <x v="2"/>
    <n v="4"/>
    <n v="37.17"/>
    <x v="10"/>
    <n v="148.68"/>
    <d v="2024-04-23T20:34:59"/>
    <x v="4"/>
    <s v="a075b48c-b3bc-4f36-8411-f41ad73b9b7e"/>
  </r>
  <r>
    <s v="ORD200974"/>
    <x v="11"/>
    <x v="1"/>
    <n v="1"/>
    <n v="25.77"/>
    <x v="0"/>
    <n v="25.77"/>
    <d v="2024-09-17T20:34:59"/>
    <x v="2"/>
    <s v="b310c494-9d69-4de6-984d-dda9f803853c"/>
  </r>
  <r>
    <s v="ORD200975"/>
    <x v="6"/>
    <x v="1"/>
    <n v="4"/>
    <n v="43.41"/>
    <x v="5"/>
    <n v="173.64"/>
    <d v="2025-02-27T20:34:59"/>
    <x v="0"/>
    <s v="5f8334aa-8e1c-42c5-9033-2e62c7025e81"/>
  </r>
  <r>
    <s v="ORD200976"/>
    <x v="7"/>
    <x v="1"/>
    <n v="1"/>
    <n v="14.82"/>
    <x v="3"/>
    <n v="14.82"/>
    <d v="2024-07-15T20:34:59"/>
    <x v="2"/>
    <s v="6017a4ac-7c44-4ec1-bf4e-ab2b0dde7a3d"/>
  </r>
  <r>
    <s v="ORD200977"/>
    <x v="7"/>
    <x v="1"/>
    <n v="3"/>
    <n v="36.770000000000003"/>
    <x v="11"/>
    <n v="110.31"/>
    <d v="2024-12-29T20:34:59"/>
    <x v="4"/>
    <s v="95655c43-0f06-42a8-a1fa-c0ca11003a21"/>
  </r>
  <r>
    <s v="ORD200978"/>
    <x v="10"/>
    <x v="0"/>
    <n v="3"/>
    <n v="31.2"/>
    <x v="5"/>
    <n v="93.6"/>
    <d v="2025-02-06T20:34:59"/>
    <x v="2"/>
    <s v="4730ee36-1fc3-4698-bf33-441d2685d709"/>
  </r>
  <r>
    <s v="ORD200979"/>
    <x v="2"/>
    <x v="1"/>
    <n v="4"/>
    <n v="28.72"/>
    <x v="1"/>
    <n v="114.88"/>
    <d v="2024-05-28T20:34:59"/>
    <x v="0"/>
    <s v="c6b5853e-791b-4205-9f6c-3a3968bd06a2"/>
  </r>
  <r>
    <s v="ORD200980"/>
    <x v="6"/>
    <x v="1"/>
    <n v="3"/>
    <n v="37.049999999999997"/>
    <x v="10"/>
    <n v="111.14999999999999"/>
    <d v="2024-04-24T20:34:59"/>
    <x v="4"/>
    <s v="6b8114e7-bf05-451c-8540-929fd7675e4c"/>
  </r>
  <r>
    <s v="ORD200981"/>
    <x v="3"/>
    <x v="2"/>
    <n v="4"/>
    <n v="53.48"/>
    <x v="1"/>
    <n v="213.92"/>
    <d v="2024-05-15T20:34:59"/>
    <x v="3"/>
    <s v="f0444bde-1e51-42f2-9d42-c640104beaef"/>
  </r>
  <r>
    <s v="ORD200982"/>
    <x v="3"/>
    <x v="2"/>
    <n v="5"/>
    <n v="57.31"/>
    <x v="3"/>
    <n v="286.55"/>
    <d v="2024-07-20T20:34:59"/>
    <x v="3"/>
    <s v="69f5b334-c808-4a16-98d3-b2a3bed64f30"/>
  </r>
  <r>
    <s v="ORD200983"/>
    <x v="6"/>
    <x v="1"/>
    <n v="4"/>
    <n v="15.17"/>
    <x v="6"/>
    <n v="60.68"/>
    <d v="2025-03-23T20:34:59"/>
    <x v="2"/>
    <s v="1bdcac16-2986-41d6-83ce-7670ff279387"/>
  </r>
  <r>
    <s v="ORD200984"/>
    <x v="9"/>
    <x v="2"/>
    <n v="5"/>
    <n v="38.729999999999997"/>
    <x v="10"/>
    <n v="193.64999999999998"/>
    <d v="2024-04-20T20:34:59"/>
    <x v="0"/>
    <s v="aa228286-f9a1-4904-be02-1331aa9dee1c"/>
  </r>
  <r>
    <s v="ORD200985"/>
    <x v="9"/>
    <x v="2"/>
    <n v="3"/>
    <n v="38.090000000000003"/>
    <x v="9"/>
    <n v="114.27000000000001"/>
    <d v="2024-08-09T20:34:59"/>
    <x v="2"/>
    <s v="e32c267d-3792-4785-9a55-1b609f96d9ff"/>
  </r>
  <r>
    <s v="ORD200986"/>
    <x v="8"/>
    <x v="0"/>
    <n v="3"/>
    <n v="51.63"/>
    <x v="2"/>
    <n v="154.89000000000001"/>
    <d v="2025-01-08T20:34:59"/>
    <x v="0"/>
    <s v="95c146bd-1e86-4935-b009-d465034dc794"/>
  </r>
  <r>
    <s v="ORD200987"/>
    <x v="0"/>
    <x v="0"/>
    <n v="5"/>
    <n v="40.42"/>
    <x v="8"/>
    <n v="202.10000000000002"/>
    <d v="2024-06-01T20:34:59"/>
    <x v="0"/>
    <s v="0a80f1cb-fcb9-4d4f-bc65-982f64de7cae"/>
  </r>
  <r>
    <s v="ORD200988"/>
    <x v="0"/>
    <x v="0"/>
    <n v="4"/>
    <n v="20.89"/>
    <x v="10"/>
    <n v="83.56"/>
    <d v="2024-04-24T20:34:59"/>
    <x v="4"/>
    <s v="4bd42e12-3bbb-42c9-9cb8-1c19a7dfc252"/>
  </r>
  <r>
    <s v="ORD200989"/>
    <x v="11"/>
    <x v="1"/>
    <n v="1"/>
    <n v="17.21"/>
    <x v="10"/>
    <n v="17.21"/>
    <d v="2024-04-24T20:34:59"/>
    <x v="4"/>
    <s v="e8bbee16-b664-4106-91e4-d633c4006d3d"/>
  </r>
  <r>
    <s v="ORD200990"/>
    <x v="4"/>
    <x v="0"/>
    <n v="2"/>
    <n v="32.479999999999997"/>
    <x v="9"/>
    <n v="64.959999999999994"/>
    <d v="2024-08-18T20:34:59"/>
    <x v="3"/>
    <s v="9aee578c-bbbd-4f95-887d-56450bfa4886"/>
  </r>
  <r>
    <s v="ORD200991"/>
    <x v="9"/>
    <x v="2"/>
    <n v="5"/>
    <n v="44.6"/>
    <x v="0"/>
    <n v="223"/>
    <d v="2024-09-02T20:34:59"/>
    <x v="0"/>
    <s v="d00395c4-e381-45f8-bcab-029ee9ec826a"/>
  </r>
  <r>
    <s v="ORD200992"/>
    <x v="11"/>
    <x v="1"/>
    <n v="2"/>
    <n v="26.9"/>
    <x v="6"/>
    <n v="53.8"/>
    <d v="2025-03-18T20:34:59"/>
    <x v="4"/>
    <s v="a2ef3fc3-f5dd-4254-bea4-2385696ba714"/>
  </r>
  <r>
    <s v="ORD200993"/>
    <x v="1"/>
    <x v="1"/>
    <n v="4"/>
    <n v="45.33"/>
    <x v="3"/>
    <n v="181.32"/>
    <d v="2024-07-05T20:34:59"/>
    <x v="1"/>
    <s v="5c599690-2dcd-46f4-a20a-4edf573b47cb"/>
  </r>
  <r>
    <s v="ORD200994"/>
    <x v="5"/>
    <x v="2"/>
    <n v="2"/>
    <n v="38.4"/>
    <x v="2"/>
    <n v="76.8"/>
    <d v="2025-01-08T20:34:59"/>
    <x v="1"/>
    <s v="e65ecf90-4210-4fa5-b0e2-e92a49c652d7"/>
  </r>
  <r>
    <s v="ORD200995"/>
    <x v="5"/>
    <x v="2"/>
    <n v="1"/>
    <n v="56.66"/>
    <x v="2"/>
    <n v="56.66"/>
    <d v="2025-01-13T20:34:59"/>
    <x v="2"/>
    <s v="ae9d9391-f884-4ac7-8c97-ec53447329fa"/>
  </r>
  <r>
    <s v="ORD200996"/>
    <x v="5"/>
    <x v="2"/>
    <n v="4"/>
    <n v="45.97"/>
    <x v="8"/>
    <n v="183.88"/>
    <d v="2024-06-06T20:34:59"/>
    <x v="1"/>
    <s v="1ca579e2-6112-47f1-8950-f5df60e63794"/>
  </r>
  <r>
    <s v="ORD200997"/>
    <x v="5"/>
    <x v="2"/>
    <n v="2"/>
    <n v="47.91"/>
    <x v="4"/>
    <n v="95.82"/>
    <d v="2024-11-10T20:34:59"/>
    <x v="2"/>
    <s v="453ff341-f005-4481-a77c-221123b14f5a"/>
  </r>
  <r>
    <s v="ORD200998"/>
    <x v="8"/>
    <x v="0"/>
    <n v="1"/>
    <n v="29.87"/>
    <x v="0"/>
    <n v="29.87"/>
    <d v="2024-09-20T20:34:59"/>
    <x v="3"/>
    <s v="7b682127-aff1-4f88-b74e-d558d361450b"/>
  </r>
  <r>
    <s v="ORD200999"/>
    <x v="4"/>
    <x v="0"/>
    <n v="3"/>
    <n v="16.75"/>
    <x v="6"/>
    <n v="50.25"/>
    <d v="2025-03-20T20:34:59"/>
    <x v="4"/>
    <s v="6051b9f6-39a9-4956-a222-9830cc923719"/>
  </r>
  <r>
    <s v="ORD201000"/>
    <x v="9"/>
    <x v="2"/>
    <n v="1"/>
    <n v="42.54"/>
    <x v="7"/>
    <n v="42.54"/>
    <d v="2024-10-24T20:34:59"/>
    <x v="2"/>
    <s v="f26ffd7b-2917-454c-bda6-786ecfdf8a45"/>
  </r>
  <r>
    <s v="ORD201001"/>
    <x v="3"/>
    <x v="2"/>
    <n v="3"/>
    <n v="37.950000000000003"/>
    <x v="5"/>
    <n v="113.85000000000001"/>
    <d v="2025-02-23T20:34:59"/>
    <x v="4"/>
    <s v="f7889363-a64c-4ccb-adf4-cfa7894f06b9"/>
  </r>
  <r>
    <s v="ORD201002"/>
    <x v="2"/>
    <x v="1"/>
    <n v="5"/>
    <n v="15.43"/>
    <x v="9"/>
    <n v="77.150000000000006"/>
    <d v="2024-08-14T20:34:59"/>
    <x v="3"/>
    <s v="015fbc2a-5614-4e2a-a701-f17caabd29f2"/>
  </r>
  <r>
    <s v="ORD201003"/>
    <x v="11"/>
    <x v="1"/>
    <n v="4"/>
    <n v="30.78"/>
    <x v="11"/>
    <n v="123.12"/>
    <d v="2024-12-05T20:34:59"/>
    <x v="2"/>
    <s v="76988818-b871-4d75-984b-f187b5f1953b"/>
  </r>
  <r>
    <s v="ORD201004"/>
    <x v="9"/>
    <x v="2"/>
    <n v="4"/>
    <n v="39.630000000000003"/>
    <x v="7"/>
    <n v="158.52000000000001"/>
    <d v="2024-10-30T20:34:59"/>
    <x v="0"/>
    <s v="63c87f87-735d-4298-882e-51995dc58551"/>
  </r>
  <r>
    <s v="ORD201005"/>
    <x v="10"/>
    <x v="0"/>
    <n v="2"/>
    <n v="47.87"/>
    <x v="7"/>
    <n v="95.74"/>
    <d v="2024-10-31T20:34:59"/>
    <x v="2"/>
    <s v="9174c1a1-82f8-4650-90c7-0a88310fe677"/>
  </r>
  <r>
    <s v="ORD201006"/>
    <x v="9"/>
    <x v="2"/>
    <n v="2"/>
    <n v="27.22"/>
    <x v="2"/>
    <n v="54.44"/>
    <d v="2025-01-27T20:34:59"/>
    <x v="0"/>
    <s v="e2ffdf1b-1030-41a7-b856-f3e594530992"/>
  </r>
  <r>
    <s v="ORD201007"/>
    <x v="7"/>
    <x v="1"/>
    <n v="3"/>
    <n v="27.66"/>
    <x v="0"/>
    <n v="82.98"/>
    <d v="2024-09-11T20:34:59"/>
    <x v="4"/>
    <s v="7bbd0183-4c36-42d8-b111-8ca0b6fd9628"/>
  </r>
  <r>
    <s v="ORD201008"/>
    <x v="1"/>
    <x v="1"/>
    <n v="1"/>
    <n v="42.94"/>
    <x v="11"/>
    <n v="42.94"/>
    <d v="2024-12-24T20:34:59"/>
    <x v="4"/>
    <s v="562eaeb4-b3e1-474d-a48c-ad20e56f062b"/>
  </r>
  <r>
    <s v="ORD201009"/>
    <x v="8"/>
    <x v="0"/>
    <n v="5"/>
    <n v="57.17"/>
    <x v="2"/>
    <n v="285.85000000000002"/>
    <d v="2025-01-10T20:34:59"/>
    <x v="2"/>
    <s v="b9048a4f-58a0-4a13-abf4-702479d22540"/>
  </r>
  <r>
    <s v="ORD201010"/>
    <x v="11"/>
    <x v="1"/>
    <n v="4"/>
    <n v="56.89"/>
    <x v="6"/>
    <n v="227.56"/>
    <d v="2025-03-14T20:34:59"/>
    <x v="1"/>
    <s v="0295d648-e506-4d48-b1df-7f9c8f8be340"/>
  </r>
  <r>
    <s v="ORD201011"/>
    <x v="1"/>
    <x v="1"/>
    <n v="4"/>
    <n v="27.67"/>
    <x v="6"/>
    <n v="110.68"/>
    <d v="2025-03-21T20:34:59"/>
    <x v="4"/>
    <s v="66c46996-f429-4702-9081-252d03669c9c"/>
  </r>
  <r>
    <s v="ORD201012"/>
    <x v="5"/>
    <x v="2"/>
    <n v="4"/>
    <n v="19.48"/>
    <x v="7"/>
    <n v="77.92"/>
    <d v="2024-10-20T20:34:59"/>
    <x v="3"/>
    <s v="d28e7e30-0fba-4638-b7ca-59462cce282f"/>
  </r>
  <r>
    <s v="ORD201013"/>
    <x v="7"/>
    <x v="1"/>
    <n v="2"/>
    <n v="59.09"/>
    <x v="2"/>
    <n v="118.18"/>
    <d v="2025-01-27T20:34:59"/>
    <x v="0"/>
    <s v="73abcd97-564c-4170-9ebe-185413b086ee"/>
  </r>
  <r>
    <s v="ORD201014"/>
    <x v="5"/>
    <x v="2"/>
    <n v="1"/>
    <n v="46.53"/>
    <x v="2"/>
    <n v="46.53"/>
    <d v="2025-01-24T20:34:59"/>
    <x v="3"/>
    <s v="3474f916-84fd-4967-8363-fbe58068ce15"/>
  </r>
  <r>
    <s v="ORD201015"/>
    <x v="3"/>
    <x v="2"/>
    <n v="1"/>
    <n v="12.65"/>
    <x v="8"/>
    <n v="12.65"/>
    <d v="2024-06-01T20:34:59"/>
    <x v="2"/>
    <s v="6cc364fa-9a9c-4fee-be15-a6596601f3ea"/>
  </r>
  <r>
    <s v="ORD201016"/>
    <x v="8"/>
    <x v="0"/>
    <n v="5"/>
    <n v="32.5"/>
    <x v="8"/>
    <n v="162.5"/>
    <d v="2024-06-10T20:34:59"/>
    <x v="2"/>
    <s v="a4cc921c-e002-4f82-b7eb-2e2834c131c9"/>
  </r>
  <r>
    <s v="ORD201017"/>
    <x v="9"/>
    <x v="2"/>
    <n v="3"/>
    <n v="42.05"/>
    <x v="1"/>
    <n v="126.14999999999999"/>
    <d v="2024-05-31T20:34:59"/>
    <x v="4"/>
    <s v="88e73c89-4d99-40a4-b3b4-88051bbdd99f"/>
  </r>
  <r>
    <s v="ORD201018"/>
    <x v="11"/>
    <x v="1"/>
    <n v="4"/>
    <n v="20.63"/>
    <x v="7"/>
    <n v="82.52"/>
    <d v="2024-10-30T20:34:59"/>
    <x v="3"/>
    <s v="96d1a950-e30e-467b-a8c9-e7e11a0a8019"/>
  </r>
  <r>
    <s v="ORD201019"/>
    <x v="2"/>
    <x v="1"/>
    <n v="3"/>
    <n v="48.91"/>
    <x v="9"/>
    <n v="146.72999999999999"/>
    <d v="2024-08-06T20:34:59"/>
    <x v="1"/>
    <s v="7a8b4aab-7a23-4bab-8da4-c9c971b284fb"/>
  </r>
  <r>
    <s v="ORD201020"/>
    <x v="8"/>
    <x v="0"/>
    <n v="3"/>
    <n v="49.66"/>
    <x v="6"/>
    <n v="148.97999999999999"/>
    <d v="2025-03-03T20:34:59"/>
    <x v="3"/>
    <s v="3c7aa418-eb98-4ef0-a81a-0229d338fa88"/>
  </r>
  <r>
    <s v="ORD201021"/>
    <x v="1"/>
    <x v="1"/>
    <n v="5"/>
    <n v="20.9"/>
    <x v="8"/>
    <n v="104.5"/>
    <d v="2024-06-07T20:34:59"/>
    <x v="0"/>
    <s v="fb5ea3de-cf49-471c-9314-3d6a76a7ed8d"/>
  </r>
  <r>
    <s v="ORD201022"/>
    <x v="5"/>
    <x v="2"/>
    <n v="3"/>
    <n v="32.07"/>
    <x v="7"/>
    <n v="96.210000000000008"/>
    <d v="2024-10-06T20:34:59"/>
    <x v="3"/>
    <s v="934b3bb4-8526-426a-9081-339bd086214b"/>
  </r>
  <r>
    <s v="ORD201023"/>
    <x v="11"/>
    <x v="1"/>
    <n v="3"/>
    <n v="23.89"/>
    <x v="2"/>
    <n v="71.67"/>
    <d v="2025-01-27T20:34:59"/>
    <x v="1"/>
    <s v="b11cc087-6bc5-407b-86e8-dccc83333f9d"/>
  </r>
  <r>
    <s v="ORD201024"/>
    <x v="5"/>
    <x v="2"/>
    <n v="1"/>
    <n v="25.18"/>
    <x v="1"/>
    <n v="25.18"/>
    <d v="2024-05-12T20:34:59"/>
    <x v="2"/>
    <s v="485610a1-6ba6-4746-b659-faeae70a18ab"/>
  </r>
  <r>
    <s v="ORD201025"/>
    <x v="11"/>
    <x v="1"/>
    <n v="4"/>
    <n v="13.61"/>
    <x v="0"/>
    <n v="54.44"/>
    <d v="2024-09-07T20:34:59"/>
    <x v="0"/>
    <s v="c1005153-ae82-4d66-b7db-2e8decf92e00"/>
  </r>
  <r>
    <s v="ORD201026"/>
    <x v="10"/>
    <x v="0"/>
    <n v="5"/>
    <n v="59.29"/>
    <x v="4"/>
    <n v="296.45"/>
    <d v="2024-11-08T20:34:59"/>
    <x v="2"/>
    <s v="1d70fae9-2c9b-45b7-a72a-47d3786e74d4"/>
  </r>
  <r>
    <s v="ORD201027"/>
    <x v="3"/>
    <x v="2"/>
    <n v="5"/>
    <n v="41.79"/>
    <x v="10"/>
    <n v="208.95"/>
    <d v="2024-04-16T20:34:59"/>
    <x v="4"/>
    <s v="beea5cf9-4442-4691-86a8-29bb3c7e42fc"/>
  </r>
  <r>
    <s v="ORD201028"/>
    <x v="6"/>
    <x v="1"/>
    <n v="3"/>
    <n v="43.87"/>
    <x v="4"/>
    <n v="131.60999999999999"/>
    <d v="2024-11-26T20:34:59"/>
    <x v="3"/>
    <s v="e0fe97ad-3268-4953-bf03-b74dd0ff79b3"/>
  </r>
  <r>
    <s v="ORD201029"/>
    <x v="0"/>
    <x v="0"/>
    <n v="5"/>
    <n v="13.06"/>
    <x v="3"/>
    <n v="65.3"/>
    <d v="2024-07-31T20:34:59"/>
    <x v="0"/>
    <s v="a69e658f-7af1-493b-9dfb-44dd723da188"/>
  </r>
  <r>
    <s v="ORD201030"/>
    <x v="2"/>
    <x v="1"/>
    <n v="2"/>
    <n v="53.03"/>
    <x v="7"/>
    <n v="106.06"/>
    <d v="2024-10-18T20:34:59"/>
    <x v="0"/>
    <s v="b781a24c-07d2-43e7-82f0-e7733077e8ab"/>
  </r>
  <r>
    <s v="ORD201031"/>
    <x v="5"/>
    <x v="2"/>
    <n v="2"/>
    <n v="59.38"/>
    <x v="9"/>
    <n v="118.76"/>
    <d v="2024-08-11T20:34:59"/>
    <x v="2"/>
    <s v="8d1dc037-509a-46a8-84a2-f77df2e73360"/>
  </r>
  <r>
    <s v="ORD201032"/>
    <x v="5"/>
    <x v="2"/>
    <n v="5"/>
    <n v="20.059999999999999"/>
    <x v="7"/>
    <n v="100.3"/>
    <d v="2024-10-18T20:34:59"/>
    <x v="3"/>
    <s v="c6053c9d-ac4e-4beb-acee-ec151180c486"/>
  </r>
  <r>
    <s v="ORD201033"/>
    <x v="3"/>
    <x v="2"/>
    <n v="4"/>
    <n v="46.08"/>
    <x v="9"/>
    <n v="184.32"/>
    <d v="2024-08-01T20:34:59"/>
    <x v="1"/>
    <s v="c428b6c5-7570-4bd2-a115-c3adefef29f6"/>
  </r>
  <r>
    <s v="ORD201034"/>
    <x v="3"/>
    <x v="2"/>
    <n v="1"/>
    <n v="44.92"/>
    <x v="9"/>
    <n v="44.92"/>
    <d v="2024-08-06T20:34:59"/>
    <x v="3"/>
    <s v="19589f5f-c4d5-42ca-b18e-5cd23baedf25"/>
  </r>
  <r>
    <s v="ORD201035"/>
    <x v="3"/>
    <x v="2"/>
    <n v="5"/>
    <n v="49.58"/>
    <x v="9"/>
    <n v="247.89999999999998"/>
    <d v="2024-08-17T20:34:59"/>
    <x v="2"/>
    <s v="461601ca-4c47-4b49-9f13-9c74311ba6b5"/>
  </r>
  <r>
    <s v="ORD201036"/>
    <x v="8"/>
    <x v="0"/>
    <n v="1"/>
    <n v="18.03"/>
    <x v="2"/>
    <n v="18.03"/>
    <d v="2025-01-09T20:34:59"/>
    <x v="2"/>
    <s v="c240572a-5a91-468e-9f1c-1e53ddacd63e"/>
  </r>
  <r>
    <s v="ORD201037"/>
    <x v="1"/>
    <x v="1"/>
    <n v="4"/>
    <n v="12.93"/>
    <x v="1"/>
    <n v="51.72"/>
    <d v="2024-05-22T20:34:59"/>
    <x v="0"/>
    <s v="5b1101c0-f638-4048-9eb2-8e31633ad23c"/>
  </r>
  <r>
    <s v="ORD201038"/>
    <x v="3"/>
    <x v="2"/>
    <n v="2"/>
    <n v="19.66"/>
    <x v="5"/>
    <n v="39.32"/>
    <d v="2025-02-19T20:34:59"/>
    <x v="0"/>
    <s v="e6e9daf2-bb28-4330-a92f-5341a0293d4a"/>
  </r>
  <r>
    <s v="ORD201039"/>
    <x v="9"/>
    <x v="2"/>
    <n v="2"/>
    <n v="48.52"/>
    <x v="8"/>
    <n v="97.04"/>
    <d v="2024-06-10T20:34:59"/>
    <x v="1"/>
    <s v="a3cdbe04-84d1-44af-8e53-34e09f8ce2f4"/>
  </r>
  <r>
    <s v="ORD201040"/>
    <x v="0"/>
    <x v="0"/>
    <n v="1"/>
    <n v="48.69"/>
    <x v="3"/>
    <n v="48.69"/>
    <d v="2024-07-10T20:34:59"/>
    <x v="2"/>
    <s v="2215df86-8d7b-4a0a-a623-ed16b7d6b84a"/>
  </r>
  <r>
    <s v="ORD201041"/>
    <x v="1"/>
    <x v="1"/>
    <n v="4"/>
    <n v="31.45"/>
    <x v="11"/>
    <n v="125.8"/>
    <d v="2024-12-30T20:34:59"/>
    <x v="4"/>
    <s v="e350154f-6a4c-46e0-ab84-0fb25880c187"/>
  </r>
  <r>
    <s v="ORD201042"/>
    <x v="9"/>
    <x v="2"/>
    <n v="2"/>
    <n v="37.58"/>
    <x v="4"/>
    <n v="75.16"/>
    <d v="2024-11-29T20:34:59"/>
    <x v="0"/>
    <s v="45a24e4e-8961-4b9d-accb-2768dd86f658"/>
  </r>
  <r>
    <s v="ORD201043"/>
    <x v="5"/>
    <x v="2"/>
    <n v="2"/>
    <n v="54.09"/>
    <x v="6"/>
    <n v="108.18"/>
    <d v="2025-03-13T20:34:59"/>
    <x v="3"/>
    <s v="40e5b670-7cd7-42df-90ef-f8c1da32d4c4"/>
  </r>
  <r>
    <s v="ORD201044"/>
    <x v="1"/>
    <x v="1"/>
    <n v="4"/>
    <n v="57.18"/>
    <x v="1"/>
    <n v="228.72"/>
    <d v="2024-05-03T20:34:59"/>
    <x v="0"/>
    <s v="ef7ed79a-7c57-4ec7-a5a4-fff444d637d3"/>
  </r>
  <r>
    <s v="ORD201045"/>
    <x v="9"/>
    <x v="2"/>
    <n v="4"/>
    <n v="50.99"/>
    <x v="11"/>
    <n v="203.96"/>
    <d v="2024-12-07T20:34:59"/>
    <x v="1"/>
    <s v="bd8d6ba6-423a-4899-adf3-e1adcbd3c04f"/>
  </r>
  <r>
    <s v="ORD201046"/>
    <x v="5"/>
    <x v="2"/>
    <n v="1"/>
    <n v="28.31"/>
    <x v="8"/>
    <n v="28.31"/>
    <d v="2024-06-23T20:34:59"/>
    <x v="2"/>
    <s v="909a9ede-0e4f-4ed0-9742-2d67f8aaa82f"/>
  </r>
  <r>
    <s v="ORD201047"/>
    <x v="5"/>
    <x v="2"/>
    <n v="2"/>
    <n v="28.68"/>
    <x v="2"/>
    <n v="57.36"/>
    <d v="2025-01-01T20:34:59"/>
    <x v="0"/>
    <s v="4c5c173e-7403-4757-bb9f-7e18a8df5f4b"/>
  </r>
  <r>
    <s v="ORD201048"/>
    <x v="0"/>
    <x v="0"/>
    <n v="2"/>
    <n v="35.409999999999997"/>
    <x v="10"/>
    <n v="70.819999999999993"/>
    <d v="2024-04-16T20:34:59"/>
    <x v="1"/>
    <s v="7a3b445d-1881-4e4c-8631-5bf48019fbd1"/>
  </r>
  <r>
    <s v="ORD201049"/>
    <x v="0"/>
    <x v="0"/>
    <n v="1"/>
    <n v="30.59"/>
    <x v="2"/>
    <n v="30.59"/>
    <d v="2025-01-08T20:34:59"/>
    <x v="2"/>
    <s v="a1a99215-12a5-41cd-9dd0-c5b685ba5c91"/>
  </r>
  <r>
    <s v="ORD201050"/>
    <x v="5"/>
    <x v="2"/>
    <n v="3"/>
    <n v="49.38"/>
    <x v="5"/>
    <n v="148.14000000000001"/>
    <d v="2025-02-09T20:34:59"/>
    <x v="3"/>
    <s v="de3feb84-b852-42de-9a6d-e8120add27fd"/>
  </r>
  <r>
    <s v="ORD201051"/>
    <x v="3"/>
    <x v="2"/>
    <n v="1"/>
    <n v="41.39"/>
    <x v="2"/>
    <n v="41.39"/>
    <d v="2025-01-26T20:34:59"/>
    <x v="3"/>
    <s v="a0a003d0-5f2e-412a-88d6-f051adebfb84"/>
  </r>
  <r>
    <s v="ORD201052"/>
    <x v="8"/>
    <x v="0"/>
    <n v="4"/>
    <n v="12.22"/>
    <x v="4"/>
    <n v="48.88"/>
    <d v="2024-11-25T20:34:59"/>
    <x v="2"/>
    <s v="0ebba5a1-cdd1-459b-86cb-d967fd240cad"/>
  </r>
  <r>
    <s v="ORD201053"/>
    <x v="8"/>
    <x v="0"/>
    <n v="3"/>
    <n v="39.71"/>
    <x v="7"/>
    <n v="119.13"/>
    <d v="2024-10-24T20:34:59"/>
    <x v="3"/>
    <s v="bbf6c33a-ddf4-45e2-974f-35c90a60fb4b"/>
  </r>
  <r>
    <s v="ORD201054"/>
    <x v="10"/>
    <x v="0"/>
    <n v="5"/>
    <n v="27.92"/>
    <x v="5"/>
    <n v="139.60000000000002"/>
    <d v="2025-02-04T20:34:59"/>
    <x v="2"/>
    <s v="414cbc5a-0e40-477d-b1ed-709fe98cd236"/>
  </r>
  <r>
    <s v="ORD201055"/>
    <x v="0"/>
    <x v="0"/>
    <n v="3"/>
    <n v="23.79"/>
    <x v="4"/>
    <n v="71.37"/>
    <d v="2024-11-21T20:34:59"/>
    <x v="1"/>
    <s v="4efb990f-f74a-4689-9407-42c4df90be01"/>
  </r>
  <r>
    <s v="ORD201056"/>
    <x v="1"/>
    <x v="1"/>
    <n v="2"/>
    <n v="38.64"/>
    <x v="5"/>
    <n v="77.28"/>
    <d v="2025-02-15T20:34:59"/>
    <x v="0"/>
    <s v="26db7860-5723-466d-baf2-3cded4ef66c1"/>
  </r>
  <r>
    <s v="ORD201057"/>
    <x v="4"/>
    <x v="0"/>
    <n v="1"/>
    <n v="31.79"/>
    <x v="7"/>
    <n v="31.79"/>
    <d v="2024-10-22T20:34:59"/>
    <x v="3"/>
    <s v="1301a975-02d2-477d-8fa4-76669c6a2bc9"/>
  </r>
  <r>
    <s v="ORD201058"/>
    <x v="10"/>
    <x v="0"/>
    <n v="3"/>
    <n v="47.49"/>
    <x v="3"/>
    <n v="142.47"/>
    <d v="2024-07-06T20:34:59"/>
    <x v="3"/>
    <s v="ba6079ef-9a78-4ee7-8301-d2f7b1749813"/>
  </r>
  <r>
    <s v="ORD201059"/>
    <x v="10"/>
    <x v="0"/>
    <n v="4"/>
    <n v="25.49"/>
    <x v="5"/>
    <n v="101.96"/>
    <d v="2025-02-09T20:34:59"/>
    <x v="2"/>
    <s v="13af0673-8380-4b20-8e9d-6d799fedba51"/>
  </r>
  <r>
    <s v="ORD201060"/>
    <x v="11"/>
    <x v="1"/>
    <n v="3"/>
    <n v="54.92"/>
    <x v="9"/>
    <n v="164.76"/>
    <d v="2024-08-10T20:34:59"/>
    <x v="2"/>
    <s v="24a256a5-cbfa-4799-8ec0-dcca4ae97076"/>
  </r>
  <r>
    <s v="ORD201061"/>
    <x v="6"/>
    <x v="1"/>
    <n v="1"/>
    <n v="29.28"/>
    <x v="8"/>
    <n v="29.28"/>
    <d v="2024-06-16T20:34:59"/>
    <x v="0"/>
    <s v="aae8b4a5-d16e-4252-a26c-f3194e2c8fa6"/>
  </r>
  <r>
    <s v="ORD201062"/>
    <x v="5"/>
    <x v="2"/>
    <n v="4"/>
    <n v="31.99"/>
    <x v="11"/>
    <n v="127.96"/>
    <d v="2024-12-05T20:34:59"/>
    <x v="4"/>
    <s v="d5800e71-e927-4634-8011-c89684a4dd43"/>
  </r>
  <r>
    <s v="ORD201063"/>
    <x v="7"/>
    <x v="1"/>
    <n v="4"/>
    <n v="21.2"/>
    <x v="0"/>
    <n v="84.8"/>
    <d v="2024-09-22T20:34:59"/>
    <x v="3"/>
    <s v="8511d461-7ba2-48fb-ae1e-4ab0a92c19de"/>
  </r>
  <r>
    <s v="ORD201064"/>
    <x v="9"/>
    <x v="2"/>
    <n v="5"/>
    <n v="50.02"/>
    <x v="6"/>
    <n v="250.10000000000002"/>
    <d v="2025-03-23T20:34:59"/>
    <x v="2"/>
    <s v="587bbd9a-b39c-433d-b768-96ada08b66bf"/>
  </r>
  <r>
    <s v="ORD201065"/>
    <x v="5"/>
    <x v="2"/>
    <n v="5"/>
    <n v="40.39"/>
    <x v="4"/>
    <n v="201.95"/>
    <d v="2024-11-17T20:34:59"/>
    <x v="0"/>
    <s v="a9401454-39f7-4cd9-a56a-7db3acd72b4f"/>
  </r>
  <r>
    <s v="ORD201066"/>
    <x v="0"/>
    <x v="0"/>
    <n v="3"/>
    <n v="38.22"/>
    <x v="1"/>
    <n v="114.66"/>
    <d v="2024-05-05T20:34:59"/>
    <x v="4"/>
    <s v="fd7db5f5-56de-4fb6-8080-33af3898ef78"/>
  </r>
  <r>
    <s v="ORD201067"/>
    <x v="7"/>
    <x v="1"/>
    <n v="3"/>
    <n v="21.03"/>
    <x v="2"/>
    <n v="63.09"/>
    <d v="2025-01-31T20:34:59"/>
    <x v="2"/>
    <s v="bf0f0f94-c952-40c5-b8e1-aa3f7e031c8e"/>
  </r>
  <r>
    <s v="ORD201068"/>
    <x v="1"/>
    <x v="1"/>
    <n v="5"/>
    <n v="16.96"/>
    <x v="2"/>
    <n v="84.800000000000011"/>
    <d v="2025-01-15T20:34:59"/>
    <x v="0"/>
    <s v="70b25420-c7b8-4f55-9b06-03fa8efb9de1"/>
  </r>
  <r>
    <s v="ORD201069"/>
    <x v="2"/>
    <x v="1"/>
    <n v="3"/>
    <n v="15.83"/>
    <x v="9"/>
    <n v="47.49"/>
    <d v="2024-08-30T20:34:59"/>
    <x v="0"/>
    <s v="74f30b60-ed8a-43b1-a97b-aa6182b07592"/>
  </r>
  <r>
    <s v="ORD201070"/>
    <x v="7"/>
    <x v="1"/>
    <n v="4"/>
    <n v="13.63"/>
    <x v="8"/>
    <n v="54.52"/>
    <d v="2024-06-10T20:34:59"/>
    <x v="2"/>
    <s v="0cc61d9c-a014-4728-86e5-72ed90c84030"/>
  </r>
  <r>
    <s v="ORD201071"/>
    <x v="8"/>
    <x v="0"/>
    <n v="2"/>
    <n v="16.8"/>
    <x v="11"/>
    <n v="33.6"/>
    <d v="2024-12-10T20:34:59"/>
    <x v="0"/>
    <s v="b4cf1ab2-b17e-4ded-9d47-cb0e3885462c"/>
  </r>
  <r>
    <s v="ORD201072"/>
    <x v="0"/>
    <x v="0"/>
    <n v="3"/>
    <n v="29.54"/>
    <x v="5"/>
    <n v="88.62"/>
    <d v="2025-02-25T20:34:59"/>
    <x v="2"/>
    <s v="2332e2ac-1224-4f8c-91a3-85e3e110e138"/>
  </r>
  <r>
    <s v="ORD201073"/>
    <x v="3"/>
    <x v="2"/>
    <n v="1"/>
    <n v="45.04"/>
    <x v="4"/>
    <n v="45.04"/>
    <d v="2024-11-11T20:34:59"/>
    <x v="3"/>
    <s v="8dc6b569-e021-4425-8a25-62cf8b83df66"/>
  </r>
  <r>
    <s v="ORD201074"/>
    <x v="8"/>
    <x v="0"/>
    <n v="2"/>
    <n v="50.05"/>
    <x v="9"/>
    <n v="100.1"/>
    <d v="2024-08-07T20:34:59"/>
    <x v="3"/>
    <s v="ea9dc991-2148-42cf-b668-f01f4b80da62"/>
  </r>
  <r>
    <s v="ORD201075"/>
    <x v="8"/>
    <x v="0"/>
    <n v="1"/>
    <n v="48.15"/>
    <x v="8"/>
    <n v="48.15"/>
    <d v="2024-06-12T20:34:59"/>
    <x v="1"/>
    <s v="f7fc30ba-62f0-49d2-912a-028c3161486d"/>
  </r>
  <r>
    <s v="ORD201076"/>
    <x v="8"/>
    <x v="0"/>
    <n v="2"/>
    <n v="10.48"/>
    <x v="9"/>
    <n v="20.96"/>
    <d v="2024-08-12T20:34:59"/>
    <x v="2"/>
    <s v="d81412ab-78af-444c-b383-561bc75f6bfa"/>
  </r>
  <r>
    <s v="ORD201077"/>
    <x v="0"/>
    <x v="0"/>
    <n v="2"/>
    <n v="57.17"/>
    <x v="4"/>
    <n v="114.34"/>
    <d v="2024-11-24T20:34:59"/>
    <x v="4"/>
    <s v="5f5a95fa-cf57-4d58-9e02-5dcf52ae4441"/>
  </r>
  <r>
    <s v="ORD201078"/>
    <x v="3"/>
    <x v="2"/>
    <n v="5"/>
    <n v="21.54"/>
    <x v="5"/>
    <n v="107.69999999999999"/>
    <d v="2025-02-11T20:34:59"/>
    <x v="1"/>
    <s v="3f9f5f50-ae06-4590-9f38-29c471d79855"/>
  </r>
  <r>
    <s v="ORD201079"/>
    <x v="2"/>
    <x v="1"/>
    <n v="1"/>
    <n v="37.71"/>
    <x v="3"/>
    <n v="37.71"/>
    <d v="2024-07-25T20:34:59"/>
    <x v="4"/>
    <s v="29786d45-a637-43e5-a26a-b6b31565f947"/>
  </r>
  <r>
    <s v="ORD201080"/>
    <x v="0"/>
    <x v="0"/>
    <n v="5"/>
    <n v="35.28"/>
    <x v="4"/>
    <n v="176.4"/>
    <d v="2024-11-24T20:34:59"/>
    <x v="4"/>
    <s v="c49e327e-f33b-4195-b99d-ce0cc37e56d1"/>
  </r>
  <r>
    <s v="ORD201081"/>
    <x v="6"/>
    <x v="1"/>
    <n v="4"/>
    <n v="25.99"/>
    <x v="4"/>
    <n v="103.96"/>
    <d v="2024-11-16T20:34:59"/>
    <x v="3"/>
    <s v="4fe5d62b-f5b4-4c82-9a3c-ef214912f56a"/>
  </r>
  <r>
    <s v="ORD201082"/>
    <x v="0"/>
    <x v="0"/>
    <n v="4"/>
    <n v="27.15"/>
    <x v="10"/>
    <n v="108.6"/>
    <d v="2024-04-13T20:34:59"/>
    <x v="2"/>
    <s v="3cd7fc7c-0ac4-4170-92ae-85f962eeee04"/>
  </r>
  <r>
    <s v="ORD201083"/>
    <x v="10"/>
    <x v="0"/>
    <n v="2"/>
    <n v="41.59"/>
    <x v="0"/>
    <n v="83.18"/>
    <d v="2024-09-06T20:34:59"/>
    <x v="3"/>
    <s v="6cca636d-005f-401d-8c61-440f1ae04114"/>
  </r>
  <r>
    <s v="ORD201084"/>
    <x v="9"/>
    <x v="2"/>
    <n v="4"/>
    <n v="29.12"/>
    <x v="10"/>
    <n v="116.48"/>
    <d v="2024-04-24T20:34:59"/>
    <x v="0"/>
    <s v="349fb74b-c89c-4130-9f4f-b102c92b436c"/>
  </r>
  <r>
    <s v="ORD201085"/>
    <x v="4"/>
    <x v="0"/>
    <n v="3"/>
    <n v="29.39"/>
    <x v="9"/>
    <n v="88.17"/>
    <d v="2024-08-31T20:34:59"/>
    <x v="2"/>
    <s v="fd10f42d-d798-48db-a972-660cadd2fa73"/>
  </r>
  <r>
    <s v="ORD201086"/>
    <x v="8"/>
    <x v="0"/>
    <n v="5"/>
    <n v="30.65"/>
    <x v="2"/>
    <n v="153.25"/>
    <d v="2025-01-01T20:34:59"/>
    <x v="2"/>
    <s v="b5c1d034-12af-4079-ba14-f9dc59787b61"/>
  </r>
  <r>
    <s v="ORD201087"/>
    <x v="5"/>
    <x v="2"/>
    <n v="3"/>
    <n v="40.28"/>
    <x v="6"/>
    <n v="120.84"/>
    <d v="2025-03-12T20:34:59"/>
    <x v="3"/>
    <s v="2ca961cb-4493-4c73-98d5-f4538a8f95cc"/>
  </r>
  <r>
    <s v="ORD201088"/>
    <x v="5"/>
    <x v="2"/>
    <n v="2"/>
    <n v="57.13"/>
    <x v="10"/>
    <n v="114.26"/>
    <d v="2024-04-23T20:34:59"/>
    <x v="4"/>
    <s v="d54bee04-09e7-47c5-8652-443e83d29535"/>
  </r>
  <r>
    <s v="ORD201089"/>
    <x v="6"/>
    <x v="1"/>
    <n v="5"/>
    <n v="40.25"/>
    <x v="9"/>
    <n v="201.25"/>
    <d v="2024-08-26T20:34:59"/>
    <x v="0"/>
    <s v="0f91f248-3b40-48ec-85ef-d0f73dfb2c8f"/>
  </r>
  <r>
    <s v="ORD201090"/>
    <x v="4"/>
    <x v="0"/>
    <n v="4"/>
    <n v="42.07"/>
    <x v="2"/>
    <n v="168.28"/>
    <d v="2025-01-13T20:34:59"/>
    <x v="4"/>
    <s v="25a11894-3dbd-4ef2-84c8-ab86c9de0871"/>
  </r>
  <r>
    <s v="ORD201091"/>
    <x v="7"/>
    <x v="1"/>
    <n v="2"/>
    <n v="44.42"/>
    <x v="1"/>
    <n v="88.84"/>
    <d v="2024-05-15T20:34:59"/>
    <x v="3"/>
    <s v="7f8dd2c2-62d1-48e1-a629-406b4eca79f2"/>
  </r>
  <r>
    <s v="ORD201092"/>
    <x v="11"/>
    <x v="1"/>
    <n v="1"/>
    <n v="35.03"/>
    <x v="9"/>
    <n v="35.03"/>
    <d v="2024-08-08T20:34:59"/>
    <x v="0"/>
    <s v="2a801b44-f189-43ac-9c64-1379e60dfc9f"/>
  </r>
  <r>
    <s v="ORD201093"/>
    <x v="8"/>
    <x v="0"/>
    <n v="5"/>
    <n v="51.76"/>
    <x v="6"/>
    <n v="258.8"/>
    <d v="2025-03-30T20:34:59"/>
    <x v="1"/>
    <s v="a4606719-a121-4c6c-a2ce-92193580f9b9"/>
  </r>
  <r>
    <s v="ORD201094"/>
    <x v="11"/>
    <x v="1"/>
    <n v="1"/>
    <n v="34.659999999999997"/>
    <x v="6"/>
    <n v="34.659999999999997"/>
    <d v="2025-03-14T20:34:59"/>
    <x v="3"/>
    <s v="b9f44d92-af97-44b6-89dd-42f078809e11"/>
  </r>
  <r>
    <s v="ORD201095"/>
    <x v="2"/>
    <x v="1"/>
    <n v="4"/>
    <n v="42.89"/>
    <x v="11"/>
    <n v="171.56"/>
    <d v="2024-12-26T20:34:59"/>
    <x v="2"/>
    <s v="57deb199-59dd-4f55-b61c-fcadfbadd05e"/>
  </r>
  <r>
    <s v="ORD201096"/>
    <x v="8"/>
    <x v="0"/>
    <n v="2"/>
    <n v="33.590000000000003"/>
    <x v="0"/>
    <n v="67.180000000000007"/>
    <d v="2024-09-18T20:34:59"/>
    <x v="4"/>
    <s v="e016a205-0174-4b03-9f5d-da28ab1b904b"/>
  </r>
  <r>
    <s v="ORD201097"/>
    <x v="9"/>
    <x v="2"/>
    <n v="2"/>
    <n v="47.71"/>
    <x v="1"/>
    <n v="95.42"/>
    <d v="2024-05-15T20:34:59"/>
    <x v="1"/>
    <s v="efe99235-cfac-42a7-a528-25215d77bf41"/>
  </r>
  <r>
    <s v="ORD201098"/>
    <x v="10"/>
    <x v="0"/>
    <n v="2"/>
    <n v="15.18"/>
    <x v="8"/>
    <n v="30.36"/>
    <d v="2024-06-06T20:34:59"/>
    <x v="2"/>
    <s v="a0193497-db1e-47e4-9fab-bcc2dde34488"/>
  </r>
  <r>
    <s v="ORD201099"/>
    <x v="10"/>
    <x v="0"/>
    <n v="2"/>
    <n v="45.45"/>
    <x v="4"/>
    <n v="90.9"/>
    <d v="2024-11-30T20:34:59"/>
    <x v="1"/>
    <s v="40e7fc19-4546-42ad-8ffd-31a44f87c2b4"/>
  </r>
  <r>
    <s v="ORD201100"/>
    <x v="7"/>
    <x v="1"/>
    <n v="4"/>
    <n v="21.17"/>
    <x v="1"/>
    <n v="84.68"/>
    <d v="2024-05-15T20:34:59"/>
    <x v="2"/>
    <s v="c4e76590-9e01-4be9-b1cd-6846a2513127"/>
  </r>
  <r>
    <s v="ORD201101"/>
    <x v="7"/>
    <x v="1"/>
    <n v="3"/>
    <n v="51.71"/>
    <x v="10"/>
    <n v="155.13"/>
    <d v="2024-04-16T20:34:59"/>
    <x v="4"/>
    <s v="9478d042-43e6-4820-aadb-422145afe6e3"/>
  </r>
  <r>
    <s v="ORD201102"/>
    <x v="4"/>
    <x v="0"/>
    <n v="5"/>
    <n v="23.45"/>
    <x v="6"/>
    <n v="117.25"/>
    <d v="2025-03-10T20:34:59"/>
    <x v="4"/>
    <s v="4e6d32d7-f59f-4808-8714-3b9bfa853ee2"/>
  </r>
  <r>
    <s v="ORD201103"/>
    <x v="7"/>
    <x v="1"/>
    <n v="5"/>
    <n v="48.25"/>
    <x v="6"/>
    <n v="241.25"/>
    <d v="2025-03-18T20:34:59"/>
    <x v="2"/>
    <s v="d810edb4-12e0-4c19-9205-d6c9bf8e7786"/>
  </r>
  <r>
    <s v="ORD201104"/>
    <x v="3"/>
    <x v="2"/>
    <n v="4"/>
    <n v="51.15"/>
    <x v="4"/>
    <n v="204.6"/>
    <d v="2024-11-18T20:34:59"/>
    <x v="2"/>
    <s v="0606cbd2-e3ec-462c-ab07-a2dc16379a54"/>
  </r>
  <r>
    <s v="ORD201105"/>
    <x v="5"/>
    <x v="2"/>
    <n v="2"/>
    <n v="27.27"/>
    <x v="5"/>
    <n v="54.54"/>
    <d v="2025-02-06T20:34:59"/>
    <x v="3"/>
    <s v="e584e0dc-595a-465a-a425-12e151379777"/>
  </r>
  <r>
    <s v="ORD201106"/>
    <x v="9"/>
    <x v="2"/>
    <n v="2"/>
    <n v="25.41"/>
    <x v="3"/>
    <n v="50.82"/>
    <d v="2024-07-11T20:34:59"/>
    <x v="4"/>
    <s v="d7c227c8-6c82-4f9c-b19a-45474a5d00c8"/>
  </r>
  <r>
    <s v="ORD201107"/>
    <x v="3"/>
    <x v="2"/>
    <n v="5"/>
    <n v="15.39"/>
    <x v="11"/>
    <n v="76.95"/>
    <d v="2024-12-30T20:34:59"/>
    <x v="0"/>
    <s v="288737a5-fc0c-4266-8672-1482655e4592"/>
  </r>
  <r>
    <s v="ORD201108"/>
    <x v="6"/>
    <x v="1"/>
    <n v="4"/>
    <n v="26.73"/>
    <x v="3"/>
    <n v="106.92"/>
    <d v="2024-07-31T20:34:59"/>
    <x v="1"/>
    <s v="bd3b4e32-19bb-4e5f-b1a0-7cd90380b418"/>
  </r>
  <r>
    <s v="ORD201109"/>
    <x v="10"/>
    <x v="0"/>
    <n v="2"/>
    <n v="48.2"/>
    <x v="3"/>
    <n v="96.4"/>
    <d v="2024-07-27T20:34:59"/>
    <x v="4"/>
    <s v="76131119-19fd-41d9-8811-b8ea3b7aca45"/>
  </r>
  <r>
    <s v="ORD201110"/>
    <x v="8"/>
    <x v="0"/>
    <n v="2"/>
    <n v="50.88"/>
    <x v="0"/>
    <n v="101.76"/>
    <d v="2024-09-09T20:34:59"/>
    <x v="2"/>
    <s v="f0508078-cc94-48be-b505-a7d0d3ede371"/>
  </r>
  <r>
    <s v="ORD201111"/>
    <x v="6"/>
    <x v="1"/>
    <n v="2"/>
    <n v="22.44"/>
    <x v="8"/>
    <n v="44.88"/>
    <d v="2024-06-30T20:34:59"/>
    <x v="1"/>
    <s v="14b85abf-644f-4e42-8202-f28aa6d08367"/>
  </r>
  <r>
    <s v="ORD201112"/>
    <x v="6"/>
    <x v="1"/>
    <n v="3"/>
    <n v="34.6"/>
    <x v="0"/>
    <n v="103.80000000000001"/>
    <d v="2024-09-06T20:34:59"/>
    <x v="1"/>
    <s v="a9d4359c-f4a5-426e-ab23-4c6d23c460f7"/>
  </r>
  <r>
    <s v="ORD201113"/>
    <x v="3"/>
    <x v="2"/>
    <n v="1"/>
    <n v="34.07"/>
    <x v="4"/>
    <n v="34.07"/>
    <d v="2024-11-23T20:34:59"/>
    <x v="4"/>
    <s v="e12b8c34-55ca-4c75-b013-dca31e1dd839"/>
  </r>
  <r>
    <s v="ORD201114"/>
    <x v="0"/>
    <x v="0"/>
    <n v="1"/>
    <n v="37"/>
    <x v="10"/>
    <n v="37"/>
    <d v="2024-04-05T20:34:59"/>
    <x v="3"/>
    <s v="a1c04963-13be-47e9-81fa-f3b507e6c3ab"/>
  </r>
  <r>
    <s v="ORD201115"/>
    <x v="11"/>
    <x v="1"/>
    <n v="1"/>
    <n v="55.07"/>
    <x v="6"/>
    <n v="55.07"/>
    <d v="2025-03-09T20:34:59"/>
    <x v="0"/>
    <s v="947aec82-cc28-40b0-bc63-e4c7d7f0c786"/>
  </r>
  <r>
    <s v="ORD201116"/>
    <x v="3"/>
    <x v="2"/>
    <n v="4"/>
    <n v="53.13"/>
    <x v="5"/>
    <n v="212.52"/>
    <d v="2025-02-01T20:34:59"/>
    <x v="1"/>
    <s v="17f9e868-1982-484b-8ba3-94bf2cf2d561"/>
  </r>
  <r>
    <s v="ORD201117"/>
    <x v="6"/>
    <x v="1"/>
    <n v="1"/>
    <n v="10.48"/>
    <x v="9"/>
    <n v="10.48"/>
    <d v="2024-08-09T20:34:59"/>
    <x v="2"/>
    <s v="d9345a82-6137-4d27-97f8-caf2638cd077"/>
  </r>
  <r>
    <s v="ORD201118"/>
    <x v="5"/>
    <x v="2"/>
    <n v="5"/>
    <n v="24.59"/>
    <x v="5"/>
    <n v="122.95"/>
    <d v="2025-02-23T20:34:59"/>
    <x v="3"/>
    <s v="2c81643e-90ac-4804-8033-b3f401c1e7fe"/>
  </r>
  <r>
    <s v="ORD201119"/>
    <x v="9"/>
    <x v="2"/>
    <n v="1"/>
    <n v="48.65"/>
    <x v="8"/>
    <n v="48.65"/>
    <d v="2024-06-04T20:34:59"/>
    <x v="2"/>
    <s v="1442e6da-3c2a-4328-a7b7-be04394935d0"/>
  </r>
  <r>
    <s v="ORD201120"/>
    <x v="10"/>
    <x v="0"/>
    <n v="1"/>
    <n v="15.89"/>
    <x v="5"/>
    <n v="15.89"/>
    <d v="2025-02-21T20:34:59"/>
    <x v="0"/>
    <s v="05a3a9e2-a791-4585-a4d8-eb112fd2166a"/>
  </r>
  <r>
    <s v="ORD201121"/>
    <x v="8"/>
    <x v="0"/>
    <n v="2"/>
    <n v="20.88"/>
    <x v="3"/>
    <n v="41.76"/>
    <d v="2024-07-19T20:34:59"/>
    <x v="3"/>
    <s v="6b268b63-8e38-49a6-9438-d59c420ef9ef"/>
  </r>
  <r>
    <s v="ORD201122"/>
    <x v="5"/>
    <x v="2"/>
    <n v="4"/>
    <n v="13.48"/>
    <x v="5"/>
    <n v="53.92"/>
    <d v="2025-02-24T20:34:59"/>
    <x v="4"/>
    <s v="3ec537c8-ef76-45e3-84c3-20890cd67d2b"/>
  </r>
  <r>
    <s v="ORD201123"/>
    <x v="6"/>
    <x v="1"/>
    <n v="4"/>
    <n v="55.25"/>
    <x v="6"/>
    <n v="221"/>
    <d v="2025-03-15T20:34:59"/>
    <x v="4"/>
    <s v="1c5a1602-1a0d-4fcb-87a7-0bef9937c387"/>
  </r>
  <r>
    <s v="ORD201124"/>
    <x v="3"/>
    <x v="2"/>
    <n v="5"/>
    <n v="31.31"/>
    <x v="1"/>
    <n v="156.54999999999998"/>
    <d v="2024-05-10T20:34:59"/>
    <x v="2"/>
    <s v="af301267-51de-4043-8af8-2c6f067bcb6b"/>
  </r>
  <r>
    <s v="ORD201125"/>
    <x v="1"/>
    <x v="1"/>
    <n v="3"/>
    <n v="15.95"/>
    <x v="7"/>
    <n v="47.849999999999994"/>
    <d v="2024-10-14T20:34:59"/>
    <x v="4"/>
    <s v="e2bc0faf-2910-437d-8b87-7c33c3de51a9"/>
  </r>
  <r>
    <s v="ORD201126"/>
    <x v="8"/>
    <x v="0"/>
    <n v="2"/>
    <n v="28.73"/>
    <x v="1"/>
    <n v="57.46"/>
    <d v="2024-05-15T20:34:59"/>
    <x v="1"/>
    <s v="05734829-1e09-478b-9db8-bc806c996b47"/>
  </r>
  <r>
    <s v="ORD201127"/>
    <x v="6"/>
    <x v="1"/>
    <n v="1"/>
    <n v="10.210000000000001"/>
    <x v="5"/>
    <n v="10.210000000000001"/>
    <d v="2025-02-19T20:34:59"/>
    <x v="4"/>
    <s v="b7aad156-5dcf-4195-a3d6-255d76e93d95"/>
  </r>
  <r>
    <s v="ORD201128"/>
    <x v="10"/>
    <x v="0"/>
    <n v="1"/>
    <n v="11.32"/>
    <x v="11"/>
    <n v="11.32"/>
    <d v="2024-12-23T20:34:59"/>
    <x v="4"/>
    <s v="111b2662-6e6d-432f-a5f9-8453920f8fd4"/>
  </r>
  <r>
    <s v="ORD201129"/>
    <x v="4"/>
    <x v="0"/>
    <n v="3"/>
    <n v="47.22"/>
    <x v="2"/>
    <n v="141.66"/>
    <d v="2025-01-03T20:34:59"/>
    <x v="2"/>
    <s v="23b2b0bd-b706-4da9-b1de-0ade00de26b3"/>
  </r>
  <r>
    <s v="ORD201130"/>
    <x v="5"/>
    <x v="2"/>
    <n v="4"/>
    <n v="28.76"/>
    <x v="10"/>
    <n v="115.04"/>
    <d v="2024-04-28T20:34:59"/>
    <x v="1"/>
    <s v="d98bb900-bdef-4c02-820d-e1b92bda06a4"/>
  </r>
  <r>
    <s v="ORD201131"/>
    <x v="4"/>
    <x v="0"/>
    <n v="3"/>
    <n v="41.63"/>
    <x v="5"/>
    <n v="124.89000000000001"/>
    <d v="2025-02-16T20:34:59"/>
    <x v="3"/>
    <s v="96540d85-e09c-4a34-892e-c8f7c62d85f0"/>
  </r>
  <r>
    <s v="ORD201132"/>
    <x v="7"/>
    <x v="1"/>
    <n v="3"/>
    <n v="52.34"/>
    <x v="11"/>
    <n v="157.02000000000001"/>
    <d v="2024-12-10T20:34:59"/>
    <x v="1"/>
    <s v="4ac56fec-64ea-4722-b1ee-81fda611593e"/>
  </r>
  <r>
    <s v="ORD201133"/>
    <x v="6"/>
    <x v="1"/>
    <n v="2"/>
    <n v="21.75"/>
    <x v="2"/>
    <n v="43.5"/>
    <d v="2025-01-02T20:34:59"/>
    <x v="2"/>
    <s v="40e68787-bff0-435f-b533-9296e066e6f1"/>
  </r>
  <r>
    <s v="ORD201134"/>
    <x v="1"/>
    <x v="1"/>
    <n v="3"/>
    <n v="55.33"/>
    <x v="1"/>
    <n v="165.99"/>
    <d v="2024-05-25T20:34:59"/>
    <x v="3"/>
    <s v="ea3de4e0-1e84-46f0-81a1-4318faba4800"/>
  </r>
  <r>
    <s v="ORD201135"/>
    <x v="6"/>
    <x v="1"/>
    <n v="2"/>
    <n v="36.14"/>
    <x v="1"/>
    <n v="72.28"/>
    <d v="2024-05-14T20:34:59"/>
    <x v="0"/>
    <s v="c4693d8e-0181-4e5e-9171-7cac4c6bae28"/>
  </r>
  <r>
    <s v="ORD201136"/>
    <x v="3"/>
    <x v="2"/>
    <n v="5"/>
    <n v="14.81"/>
    <x v="4"/>
    <n v="74.05"/>
    <d v="2024-11-07T20:34:59"/>
    <x v="1"/>
    <s v="1dc48b41-99e3-47a0-841d-ae08d3146f82"/>
  </r>
  <r>
    <s v="ORD201137"/>
    <x v="9"/>
    <x v="2"/>
    <n v="1"/>
    <n v="32.76"/>
    <x v="3"/>
    <n v="32.76"/>
    <d v="2024-07-25T20:34:59"/>
    <x v="1"/>
    <s v="71571f30-345a-4121-b2e5-d798a71f386d"/>
  </r>
  <r>
    <s v="ORD201138"/>
    <x v="6"/>
    <x v="1"/>
    <n v="4"/>
    <n v="20.56"/>
    <x v="2"/>
    <n v="82.24"/>
    <d v="2025-01-23T20:34:59"/>
    <x v="3"/>
    <s v="e609ddd3-f4b2-4953-a828-57a6a00ffb6f"/>
  </r>
  <r>
    <s v="ORD201139"/>
    <x v="6"/>
    <x v="1"/>
    <n v="4"/>
    <n v="53.08"/>
    <x v="8"/>
    <n v="212.32"/>
    <d v="2024-06-17T20:34:59"/>
    <x v="3"/>
    <s v="49fabb4f-b533-4335-8667-070ab8267193"/>
  </r>
  <r>
    <s v="ORD201140"/>
    <x v="11"/>
    <x v="1"/>
    <n v="3"/>
    <n v="47.8"/>
    <x v="1"/>
    <n v="143.39999999999998"/>
    <d v="2024-05-12T20:34:59"/>
    <x v="1"/>
    <s v="e581e682-4fa7-4b78-9b86-6c5d9c598f50"/>
  </r>
  <r>
    <s v="ORD201141"/>
    <x v="5"/>
    <x v="2"/>
    <n v="4"/>
    <n v="12.61"/>
    <x v="9"/>
    <n v="50.44"/>
    <d v="2024-08-14T20:34:59"/>
    <x v="4"/>
    <s v="471552a1-d576-4dea-86df-67d07042497b"/>
  </r>
  <r>
    <s v="ORD201142"/>
    <x v="2"/>
    <x v="1"/>
    <n v="2"/>
    <n v="26.8"/>
    <x v="6"/>
    <n v="53.6"/>
    <d v="2025-03-12T20:34:59"/>
    <x v="2"/>
    <s v="ed3cf5b5-b85e-4091-967c-2ae8cc1582a6"/>
  </r>
  <r>
    <s v="ORD201143"/>
    <x v="10"/>
    <x v="0"/>
    <n v="3"/>
    <n v="37.130000000000003"/>
    <x v="1"/>
    <n v="111.39000000000001"/>
    <d v="2024-05-12T20:34:59"/>
    <x v="2"/>
    <s v="21f30381-bb7e-47a7-9a7c-4e7443d48cfe"/>
  </r>
  <r>
    <s v="ORD201144"/>
    <x v="2"/>
    <x v="1"/>
    <n v="2"/>
    <n v="40.090000000000003"/>
    <x v="10"/>
    <n v="80.180000000000007"/>
    <d v="2024-04-08T20:34:59"/>
    <x v="3"/>
    <s v="b7d59b6a-8d28-4e18-828d-9a27dddead4a"/>
  </r>
  <r>
    <s v="ORD201145"/>
    <x v="9"/>
    <x v="2"/>
    <n v="2"/>
    <n v="59.18"/>
    <x v="7"/>
    <n v="118.36"/>
    <d v="2024-10-14T20:34:59"/>
    <x v="3"/>
    <s v="76900769-b0aa-4160-9db2-215f7647c4d7"/>
  </r>
  <r>
    <s v="ORD201146"/>
    <x v="7"/>
    <x v="1"/>
    <n v="4"/>
    <n v="46.59"/>
    <x v="11"/>
    <n v="186.36"/>
    <d v="2024-12-22T20:34:59"/>
    <x v="2"/>
    <s v="5d898065-ef2b-4f3d-92c2-66b1d712a7ac"/>
  </r>
  <r>
    <s v="ORD201147"/>
    <x v="11"/>
    <x v="1"/>
    <n v="2"/>
    <n v="39.520000000000003"/>
    <x v="10"/>
    <n v="79.040000000000006"/>
    <d v="2024-04-12T20:34:59"/>
    <x v="0"/>
    <s v="8a94c7c2-c7a6-44be-8af4-0ce58b227ba6"/>
  </r>
  <r>
    <s v="ORD201148"/>
    <x v="7"/>
    <x v="1"/>
    <n v="1"/>
    <n v="11.93"/>
    <x v="5"/>
    <n v="11.93"/>
    <d v="2025-02-18T20:34:59"/>
    <x v="4"/>
    <s v="e78ea1f4-6ce9-44ee-92fa-2ef3e2ef8305"/>
  </r>
  <r>
    <s v="ORD201149"/>
    <x v="5"/>
    <x v="2"/>
    <n v="1"/>
    <n v="19.97"/>
    <x v="2"/>
    <n v="19.97"/>
    <d v="2025-01-02T20:34:59"/>
    <x v="2"/>
    <s v="028afda8-a2f5-481a-971c-550a2a73fddb"/>
  </r>
  <r>
    <s v="ORD201150"/>
    <x v="9"/>
    <x v="2"/>
    <n v="3"/>
    <n v="24.13"/>
    <x v="11"/>
    <n v="72.39"/>
    <d v="2024-12-30T20:34:59"/>
    <x v="0"/>
    <s v="e5ddc9fc-daae-4269-bd03-dcb4aed4525f"/>
  </r>
  <r>
    <s v="ORD201151"/>
    <x v="11"/>
    <x v="1"/>
    <n v="2"/>
    <n v="15.9"/>
    <x v="4"/>
    <n v="31.8"/>
    <d v="2024-11-23T20:34:59"/>
    <x v="3"/>
    <s v="2475b93e-184a-412f-b43b-34e74df63c88"/>
  </r>
  <r>
    <s v="ORD201152"/>
    <x v="3"/>
    <x v="2"/>
    <n v="3"/>
    <n v="40.6"/>
    <x v="10"/>
    <n v="121.80000000000001"/>
    <d v="2024-04-29T20:34:59"/>
    <x v="1"/>
    <s v="a0318993-6461-479a-b47c-13ee7f7300ba"/>
  </r>
  <r>
    <s v="ORD201153"/>
    <x v="3"/>
    <x v="2"/>
    <n v="4"/>
    <n v="51.17"/>
    <x v="9"/>
    <n v="204.68"/>
    <d v="2024-08-18T20:34:59"/>
    <x v="1"/>
    <s v="3a2c9ff7-9c78-4d99-a564-c64795075990"/>
  </r>
  <r>
    <s v="ORD201154"/>
    <x v="3"/>
    <x v="2"/>
    <n v="2"/>
    <n v="21.78"/>
    <x v="8"/>
    <n v="43.56"/>
    <d v="2024-06-06T20:34:59"/>
    <x v="2"/>
    <s v="c0a8b9cd-727a-47ef-b8e6-cd0649555abb"/>
  </r>
  <r>
    <s v="ORD201155"/>
    <x v="2"/>
    <x v="1"/>
    <n v="5"/>
    <n v="17.72"/>
    <x v="11"/>
    <n v="88.6"/>
    <d v="2024-12-20T20:34:59"/>
    <x v="3"/>
    <s v="be299bcf-f261-4878-b6d7-5a0827b923d3"/>
  </r>
  <r>
    <s v="ORD201156"/>
    <x v="9"/>
    <x v="2"/>
    <n v="3"/>
    <n v="42.78"/>
    <x v="1"/>
    <n v="128.34"/>
    <d v="2024-05-22T20:34:59"/>
    <x v="0"/>
    <s v="a6069ac7-0058-44c6-b857-3a2d3670a8cd"/>
  </r>
  <r>
    <s v="ORD201157"/>
    <x v="8"/>
    <x v="0"/>
    <n v="1"/>
    <n v="37.21"/>
    <x v="3"/>
    <n v="37.21"/>
    <d v="2024-07-12T20:34:59"/>
    <x v="2"/>
    <s v="827bf6b1-5abe-404f-8b94-0d699b7b1c06"/>
  </r>
  <r>
    <s v="ORD201158"/>
    <x v="3"/>
    <x v="2"/>
    <n v="5"/>
    <n v="51.06"/>
    <x v="3"/>
    <n v="255.3"/>
    <d v="2024-07-22T20:34:59"/>
    <x v="1"/>
    <s v="cd910b8d-bfff-4c94-b720-344fb35c851e"/>
  </r>
  <r>
    <s v="ORD201159"/>
    <x v="3"/>
    <x v="2"/>
    <n v="4"/>
    <n v="56"/>
    <x v="0"/>
    <n v="224"/>
    <d v="2024-09-13T20:34:59"/>
    <x v="0"/>
    <s v="7adb528a-7ee3-4ce2-9ab7-3a36cf3b5253"/>
  </r>
  <r>
    <s v="ORD201160"/>
    <x v="5"/>
    <x v="2"/>
    <n v="2"/>
    <n v="47.98"/>
    <x v="10"/>
    <n v="95.96"/>
    <d v="2024-04-14T20:34:59"/>
    <x v="2"/>
    <s v="ee98892c-4bf1-47b6-8aa2-e9a703695a92"/>
  </r>
  <r>
    <s v="ORD201161"/>
    <x v="8"/>
    <x v="0"/>
    <n v="5"/>
    <n v="46.67"/>
    <x v="5"/>
    <n v="233.35000000000002"/>
    <d v="2025-02-17T20:34:59"/>
    <x v="2"/>
    <s v="287aebae-7ab1-4b01-a3e1-5cd848c23931"/>
  </r>
  <r>
    <s v="ORD201162"/>
    <x v="10"/>
    <x v="0"/>
    <n v="3"/>
    <n v="50.72"/>
    <x v="4"/>
    <n v="152.16"/>
    <d v="2024-11-01T20:34:59"/>
    <x v="1"/>
    <s v="7f64958d-ad7a-4831-ae2a-e193781fe25e"/>
  </r>
  <r>
    <s v="ORD201163"/>
    <x v="3"/>
    <x v="2"/>
    <n v="5"/>
    <n v="45.98"/>
    <x v="11"/>
    <n v="229.89999999999998"/>
    <d v="2024-12-05T20:34:59"/>
    <x v="3"/>
    <s v="276f96a6-fb88-4f25-bd1c-8e51cd9c667d"/>
  </r>
  <r>
    <s v="ORD201164"/>
    <x v="10"/>
    <x v="0"/>
    <n v="5"/>
    <n v="19.989999999999998"/>
    <x v="9"/>
    <n v="99.949999999999989"/>
    <d v="2024-08-18T20:34:59"/>
    <x v="1"/>
    <s v="44eef559-ee6f-4640-9ccb-22cde5d3bbe2"/>
  </r>
  <r>
    <s v="ORD201165"/>
    <x v="1"/>
    <x v="1"/>
    <n v="3"/>
    <n v="31.39"/>
    <x v="11"/>
    <n v="94.17"/>
    <d v="2024-12-23T20:34:59"/>
    <x v="0"/>
    <s v="c2e0e9bb-add8-498d-b19d-ce8b97647444"/>
  </r>
  <r>
    <s v="ORD201166"/>
    <x v="1"/>
    <x v="1"/>
    <n v="4"/>
    <n v="38.58"/>
    <x v="1"/>
    <n v="154.32"/>
    <d v="2024-05-16T20:34:59"/>
    <x v="0"/>
    <s v="767a603f-fb48-4079-8b49-ba79ba918836"/>
  </r>
  <r>
    <s v="ORD201167"/>
    <x v="1"/>
    <x v="1"/>
    <n v="4"/>
    <n v="27.59"/>
    <x v="5"/>
    <n v="110.36"/>
    <d v="2025-02-01T20:34:59"/>
    <x v="0"/>
    <s v="36ad26bf-8e7b-4e21-9825-c5dfc0c3862e"/>
  </r>
  <r>
    <s v="ORD201168"/>
    <x v="6"/>
    <x v="1"/>
    <n v="3"/>
    <n v="42"/>
    <x v="0"/>
    <n v="126"/>
    <d v="2024-09-22T20:34:59"/>
    <x v="1"/>
    <s v="ee74121a-839e-4bb6-b7e0-f08b4d42e600"/>
  </r>
  <r>
    <s v="ORD201169"/>
    <x v="8"/>
    <x v="0"/>
    <n v="4"/>
    <n v="43.88"/>
    <x v="6"/>
    <n v="175.52"/>
    <d v="2025-03-19T20:34:59"/>
    <x v="2"/>
    <s v="eedd6787-9333-4b92-ae54-032aa70dd912"/>
  </r>
  <r>
    <s v="ORD201170"/>
    <x v="11"/>
    <x v="1"/>
    <n v="3"/>
    <n v="46.64"/>
    <x v="0"/>
    <n v="139.92000000000002"/>
    <d v="2024-09-19T20:34:59"/>
    <x v="3"/>
    <s v="1c0bfdac-7179-42e5-92a2-4d83039a8dd6"/>
  </r>
  <r>
    <s v="ORD201171"/>
    <x v="3"/>
    <x v="2"/>
    <n v="2"/>
    <n v="31.27"/>
    <x v="1"/>
    <n v="62.54"/>
    <d v="2024-05-03T20:34:59"/>
    <x v="4"/>
    <s v="4bbe62a9-5bdc-4dc8-b3ca-f3104fef49de"/>
  </r>
  <r>
    <s v="ORD201172"/>
    <x v="9"/>
    <x v="2"/>
    <n v="3"/>
    <n v="39.31"/>
    <x v="5"/>
    <n v="117.93"/>
    <d v="2025-02-26T20:34:59"/>
    <x v="1"/>
    <s v="e38d804f-87f0-497e-b24e-f9212d621dee"/>
  </r>
  <r>
    <s v="ORD201173"/>
    <x v="8"/>
    <x v="0"/>
    <n v="4"/>
    <n v="23.77"/>
    <x v="3"/>
    <n v="95.08"/>
    <d v="2024-07-07T20:34:59"/>
    <x v="0"/>
    <s v="ff4db0ca-efa3-406f-b989-6c61b2fe15d5"/>
  </r>
  <r>
    <s v="ORD201174"/>
    <x v="0"/>
    <x v="0"/>
    <n v="3"/>
    <n v="37.299999999999997"/>
    <x v="3"/>
    <n v="111.89999999999999"/>
    <d v="2024-07-28T20:34:59"/>
    <x v="2"/>
    <s v="96485ede-e7d0-4f00-9b16-08f376ca5097"/>
  </r>
  <r>
    <s v="ORD201175"/>
    <x v="4"/>
    <x v="0"/>
    <n v="2"/>
    <n v="55.94"/>
    <x v="6"/>
    <n v="111.88"/>
    <d v="2025-03-25T20:34:59"/>
    <x v="3"/>
    <s v="75318524-3ed3-4fa7-bff2-b4cb84ebef92"/>
  </r>
  <r>
    <s v="ORD201176"/>
    <x v="8"/>
    <x v="0"/>
    <n v="5"/>
    <n v="17.34"/>
    <x v="2"/>
    <n v="86.7"/>
    <d v="2025-01-17T20:34:59"/>
    <x v="2"/>
    <s v="8938cec2-7194-4bac-95b3-7ec5776997e4"/>
  </r>
  <r>
    <s v="ORD201177"/>
    <x v="10"/>
    <x v="0"/>
    <n v="1"/>
    <n v="56.08"/>
    <x v="0"/>
    <n v="56.08"/>
    <d v="2024-09-12T20:34:59"/>
    <x v="4"/>
    <s v="0285bbf8-7321-4fcf-816c-d7ddeaa648d0"/>
  </r>
  <r>
    <s v="ORD201178"/>
    <x v="6"/>
    <x v="1"/>
    <n v="3"/>
    <n v="49.31"/>
    <x v="9"/>
    <n v="147.93"/>
    <d v="2024-08-16T20:34:59"/>
    <x v="4"/>
    <s v="e0d1bdc2-1d40-40c9-83f4-0ecd2f142c4a"/>
  </r>
  <r>
    <s v="ORD201179"/>
    <x v="1"/>
    <x v="1"/>
    <n v="4"/>
    <n v="57.08"/>
    <x v="3"/>
    <n v="228.32"/>
    <d v="2024-07-28T20:34:59"/>
    <x v="0"/>
    <s v="75b5451a-e049-460b-b541-53e248c028b2"/>
  </r>
  <r>
    <s v="ORD201180"/>
    <x v="10"/>
    <x v="0"/>
    <n v="1"/>
    <n v="41.93"/>
    <x v="8"/>
    <n v="41.93"/>
    <d v="2024-06-16T20:34:59"/>
    <x v="3"/>
    <s v="fbd5e656-7dc4-423f-ba9a-ddb08b217b39"/>
  </r>
  <r>
    <s v="ORD201181"/>
    <x v="2"/>
    <x v="1"/>
    <n v="2"/>
    <n v="41.63"/>
    <x v="8"/>
    <n v="83.26"/>
    <d v="2024-06-26T20:34:59"/>
    <x v="0"/>
    <s v="e81a7fff-4b6b-4a71-aef9-5020aec1d81c"/>
  </r>
  <r>
    <s v="ORD201182"/>
    <x v="8"/>
    <x v="0"/>
    <n v="3"/>
    <n v="55.71"/>
    <x v="2"/>
    <n v="167.13"/>
    <d v="2025-01-09T20:34:59"/>
    <x v="4"/>
    <s v="4a5c1cc7-9713-415e-8c7c-cc67e6945c3b"/>
  </r>
  <r>
    <s v="ORD201183"/>
    <x v="11"/>
    <x v="1"/>
    <n v="3"/>
    <n v="40.409999999999997"/>
    <x v="7"/>
    <n v="121.22999999999999"/>
    <d v="2024-10-18T20:34:59"/>
    <x v="3"/>
    <s v="17aa374a-3ec6-4fa5-a03f-d6cf31fabfd8"/>
  </r>
  <r>
    <s v="ORD201184"/>
    <x v="5"/>
    <x v="2"/>
    <n v="3"/>
    <n v="46.35"/>
    <x v="9"/>
    <n v="139.05000000000001"/>
    <d v="2024-08-04T20:34:59"/>
    <x v="3"/>
    <s v="076215cc-5594-4fd9-9544-b45ad44b30f5"/>
  </r>
  <r>
    <s v="ORD201185"/>
    <x v="9"/>
    <x v="2"/>
    <n v="5"/>
    <n v="55.31"/>
    <x v="4"/>
    <n v="276.55"/>
    <d v="2024-11-05T20:34:59"/>
    <x v="1"/>
    <s v="c120c917-2d59-422f-99fb-19808363b9ad"/>
  </r>
  <r>
    <s v="ORD201186"/>
    <x v="9"/>
    <x v="2"/>
    <n v="2"/>
    <n v="33.979999999999997"/>
    <x v="9"/>
    <n v="67.959999999999994"/>
    <d v="2024-08-13T20:34:59"/>
    <x v="4"/>
    <s v="bd07f0bf-8e61-451f-b42b-10abd560ec9f"/>
  </r>
  <r>
    <s v="ORD201187"/>
    <x v="3"/>
    <x v="2"/>
    <n v="4"/>
    <n v="59.19"/>
    <x v="8"/>
    <n v="236.76"/>
    <d v="2024-06-29T20:34:59"/>
    <x v="2"/>
    <s v="be3b174f-ec31-49d6-b6c4-d346846e7302"/>
  </r>
  <r>
    <s v="ORD201188"/>
    <x v="4"/>
    <x v="0"/>
    <n v="2"/>
    <n v="52.07"/>
    <x v="5"/>
    <n v="104.14"/>
    <d v="2025-02-10T20:34:59"/>
    <x v="3"/>
    <s v="057fd9a3-acce-45e4-a83f-7460c53f24ad"/>
  </r>
  <r>
    <s v="ORD201189"/>
    <x v="10"/>
    <x v="0"/>
    <n v="2"/>
    <n v="59.69"/>
    <x v="5"/>
    <n v="119.38"/>
    <d v="2025-02-05T20:34:59"/>
    <x v="0"/>
    <s v="ebe7283f-1390-4b9e-8b3b-1e11466e11e9"/>
  </r>
  <r>
    <s v="ORD201190"/>
    <x v="3"/>
    <x v="2"/>
    <n v="2"/>
    <n v="10.48"/>
    <x v="9"/>
    <n v="20.96"/>
    <d v="2024-08-08T20:34:59"/>
    <x v="1"/>
    <s v="8f664987-86e7-4f8a-8b60-e70d42489350"/>
  </r>
  <r>
    <s v="ORD201191"/>
    <x v="9"/>
    <x v="2"/>
    <n v="3"/>
    <n v="54.84"/>
    <x v="4"/>
    <n v="164.52"/>
    <d v="2024-11-05T20:34:59"/>
    <x v="3"/>
    <s v="290f67d2-bd70-4d9d-bb39-1fb35bbefc47"/>
  </r>
  <r>
    <s v="ORD201192"/>
    <x v="2"/>
    <x v="1"/>
    <n v="4"/>
    <n v="32.78"/>
    <x v="11"/>
    <n v="131.12"/>
    <d v="2024-12-16T20:34:59"/>
    <x v="0"/>
    <s v="e94738ef-9c2d-44c2-bdb1-51c7cac00b8a"/>
  </r>
  <r>
    <s v="ORD201193"/>
    <x v="3"/>
    <x v="2"/>
    <n v="4"/>
    <n v="43.48"/>
    <x v="3"/>
    <n v="173.92"/>
    <d v="2024-07-27T20:34:59"/>
    <x v="4"/>
    <s v="5f0bdcc8-d24d-4221-879c-9f5c4f5c681f"/>
  </r>
  <r>
    <s v="ORD201194"/>
    <x v="1"/>
    <x v="1"/>
    <n v="1"/>
    <n v="54.3"/>
    <x v="3"/>
    <n v="54.3"/>
    <d v="2024-07-04T20:34:59"/>
    <x v="4"/>
    <s v="a03b2960-5b84-4169-8380-b6aaad3fe922"/>
  </r>
  <r>
    <s v="ORD201195"/>
    <x v="0"/>
    <x v="0"/>
    <n v="2"/>
    <n v="44.64"/>
    <x v="3"/>
    <n v="89.28"/>
    <d v="2024-07-10T20:34:59"/>
    <x v="4"/>
    <s v="3f978229-c035-47ae-af21-8cf30d13651b"/>
  </r>
  <r>
    <s v="ORD201196"/>
    <x v="3"/>
    <x v="2"/>
    <n v="4"/>
    <n v="10.42"/>
    <x v="4"/>
    <n v="41.68"/>
    <d v="2024-11-04T20:34:59"/>
    <x v="3"/>
    <s v="9448af47-910f-437a-9619-6a5568243e1c"/>
  </r>
  <r>
    <s v="ORD201197"/>
    <x v="3"/>
    <x v="2"/>
    <n v="3"/>
    <n v="53.92"/>
    <x v="8"/>
    <n v="161.76"/>
    <d v="2024-06-02T20:34:59"/>
    <x v="4"/>
    <s v="10ba88d0-fe47-427e-9440-3a31fd8ffeff"/>
  </r>
  <r>
    <s v="ORD201198"/>
    <x v="3"/>
    <x v="2"/>
    <n v="4"/>
    <n v="35.9"/>
    <x v="7"/>
    <n v="143.6"/>
    <d v="2024-10-19T20:34:59"/>
    <x v="2"/>
    <s v="f4bceda8-2e80-4b9e-a2fd-7daaa67ce555"/>
  </r>
  <r>
    <s v="ORD201199"/>
    <x v="9"/>
    <x v="2"/>
    <n v="5"/>
    <n v="43.98"/>
    <x v="8"/>
    <n v="219.89999999999998"/>
    <d v="2024-06-16T20:34:59"/>
    <x v="4"/>
    <s v="e24e8e6b-1d76-4ac3-9378-81641f5a1715"/>
  </r>
  <r>
    <s v="ORD201200"/>
    <x v="5"/>
    <x v="2"/>
    <n v="1"/>
    <n v="14.95"/>
    <x v="6"/>
    <n v="14.95"/>
    <d v="2025-03-30T20:34:59"/>
    <x v="4"/>
    <s v="5d74adb4-ea70-434a-a6a9-d4bbeeb33549"/>
  </r>
  <r>
    <s v="ORD201201"/>
    <x v="5"/>
    <x v="2"/>
    <n v="2"/>
    <n v="50.01"/>
    <x v="1"/>
    <n v="100.02"/>
    <d v="2024-05-12T20:34:59"/>
    <x v="4"/>
    <s v="34346b40-e222-4d35-bbfa-7a67cfe24854"/>
  </r>
  <r>
    <s v="ORD201202"/>
    <x v="1"/>
    <x v="1"/>
    <n v="3"/>
    <n v="13.41"/>
    <x v="5"/>
    <n v="40.230000000000004"/>
    <d v="2025-02-07T20:34:59"/>
    <x v="3"/>
    <s v="9d7f87c0-ee4b-4023-a9f0-4c1e71f40bd5"/>
  </r>
  <r>
    <s v="ORD201203"/>
    <x v="8"/>
    <x v="0"/>
    <n v="1"/>
    <n v="34.74"/>
    <x v="0"/>
    <n v="34.74"/>
    <d v="2024-09-08T20:34:59"/>
    <x v="2"/>
    <s v="9eee13b7-efb7-46be-80ed-1c2765f0e6c2"/>
  </r>
  <r>
    <s v="ORD201204"/>
    <x v="8"/>
    <x v="0"/>
    <n v="2"/>
    <n v="18.21"/>
    <x v="9"/>
    <n v="36.42"/>
    <d v="2024-08-12T20:34:59"/>
    <x v="1"/>
    <s v="fe52325c-06e0-483f-b752-50fce56d7376"/>
  </r>
  <r>
    <s v="ORD201205"/>
    <x v="7"/>
    <x v="1"/>
    <n v="3"/>
    <n v="22.3"/>
    <x v="11"/>
    <n v="66.900000000000006"/>
    <d v="2024-12-28T20:34:59"/>
    <x v="1"/>
    <s v="e3c2d8db-372d-4523-8eb2-27ca6a526938"/>
  </r>
  <r>
    <s v="ORD201206"/>
    <x v="5"/>
    <x v="2"/>
    <n v="5"/>
    <n v="43.67"/>
    <x v="1"/>
    <n v="218.35000000000002"/>
    <d v="2024-05-10T20:34:59"/>
    <x v="3"/>
    <s v="a5e4856c-f87f-4dd0-8091-132fc538a687"/>
  </r>
  <r>
    <s v="ORD201207"/>
    <x v="7"/>
    <x v="1"/>
    <n v="5"/>
    <n v="27.76"/>
    <x v="5"/>
    <n v="138.80000000000001"/>
    <d v="2025-02-04T20:34:59"/>
    <x v="2"/>
    <s v="38ca947c-85bb-4819-b2a1-7b5a6046469e"/>
  </r>
  <r>
    <s v="ORD201208"/>
    <x v="2"/>
    <x v="1"/>
    <n v="3"/>
    <n v="39.090000000000003"/>
    <x v="7"/>
    <n v="117.27000000000001"/>
    <d v="2024-10-10T20:34:59"/>
    <x v="3"/>
    <s v="cb1d0588-d24e-433e-8b5c-0a14e4c1e9f3"/>
  </r>
  <r>
    <s v="ORD201209"/>
    <x v="5"/>
    <x v="2"/>
    <n v="1"/>
    <n v="37.89"/>
    <x v="0"/>
    <n v="37.89"/>
    <d v="2024-09-19T20:34:59"/>
    <x v="2"/>
    <s v="35e630c2-8d11-45f8-b469-0a5ed38863d7"/>
  </r>
  <r>
    <s v="ORD201210"/>
    <x v="0"/>
    <x v="0"/>
    <n v="5"/>
    <n v="25.88"/>
    <x v="9"/>
    <n v="129.4"/>
    <d v="2024-08-14T20:34:59"/>
    <x v="3"/>
    <s v="e709b9d7-3f27-4db8-b6fe-a947fb2ebbee"/>
  </r>
  <r>
    <s v="ORD201211"/>
    <x v="3"/>
    <x v="2"/>
    <n v="2"/>
    <n v="52.59"/>
    <x v="11"/>
    <n v="105.18"/>
    <d v="2024-12-24T20:34:59"/>
    <x v="4"/>
    <s v="b522d208-a45b-49e9-9986-5134715c05ca"/>
  </r>
  <r>
    <s v="ORD201212"/>
    <x v="1"/>
    <x v="1"/>
    <n v="3"/>
    <n v="44.67"/>
    <x v="9"/>
    <n v="134.01"/>
    <d v="2024-08-26T20:34:59"/>
    <x v="1"/>
    <s v="75abaa92-1fa9-4ec4-bb49-52a023f1b3b9"/>
  </r>
  <r>
    <s v="ORD201213"/>
    <x v="4"/>
    <x v="0"/>
    <n v="2"/>
    <n v="25.02"/>
    <x v="12"/>
    <n v="50.04"/>
    <d v="2025-04-02T20:34:59"/>
    <x v="1"/>
    <s v="2f3faff9-a816-4790-9c0e-fd3e95fc6a40"/>
  </r>
  <r>
    <s v="ORD201214"/>
    <x v="5"/>
    <x v="2"/>
    <n v="2"/>
    <n v="59.19"/>
    <x v="11"/>
    <n v="118.38"/>
    <d v="2024-12-12T20:34:59"/>
    <x v="2"/>
    <s v="656fc38e-710e-4c17-a13b-5b9be6ee27a5"/>
  </r>
  <r>
    <s v="ORD201215"/>
    <x v="7"/>
    <x v="1"/>
    <n v="2"/>
    <n v="11.06"/>
    <x v="1"/>
    <n v="22.12"/>
    <d v="2024-05-17T20:34:59"/>
    <x v="0"/>
    <s v="bd6ecea0-2e6d-4377-8b2d-e4407d018428"/>
  </r>
  <r>
    <s v="ORD201216"/>
    <x v="11"/>
    <x v="1"/>
    <n v="5"/>
    <n v="15.18"/>
    <x v="3"/>
    <n v="75.900000000000006"/>
    <d v="2024-07-13T20:34:59"/>
    <x v="0"/>
    <s v="e34c05cd-30a6-4bda-b7df-95deffa1004e"/>
  </r>
  <r>
    <s v="ORD201217"/>
    <x v="7"/>
    <x v="1"/>
    <n v="2"/>
    <n v="28.23"/>
    <x v="6"/>
    <n v="56.46"/>
    <d v="2025-03-08T20:34:59"/>
    <x v="1"/>
    <s v="617d80a2-9304-49cd-a7ee-d7f55d492455"/>
  </r>
  <r>
    <s v="ORD201218"/>
    <x v="1"/>
    <x v="1"/>
    <n v="1"/>
    <n v="41.5"/>
    <x v="9"/>
    <n v="41.5"/>
    <d v="2024-08-22T20:34:59"/>
    <x v="4"/>
    <s v="93ac8438-6ba4-4291-8bbd-5c3c42af9c42"/>
  </r>
  <r>
    <s v="ORD201219"/>
    <x v="4"/>
    <x v="0"/>
    <n v="1"/>
    <n v="13.59"/>
    <x v="6"/>
    <n v="13.59"/>
    <d v="2025-03-15T20:34:59"/>
    <x v="4"/>
    <s v="e7f11ba1-bb5a-4219-b0f8-bdd192776e96"/>
  </r>
  <r>
    <s v="ORD201220"/>
    <x v="5"/>
    <x v="2"/>
    <n v="5"/>
    <n v="44.28"/>
    <x v="0"/>
    <n v="221.4"/>
    <d v="2024-09-16T20:34:59"/>
    <x v="3"/>
    <s v="d5e3fe1a-da56-4863-9d18-1dec8b485ef6"/>
  </r>
  <r>
    <s v="ORD201221"/>
    <x v="0"/>
    <x v="0"/>
    <n v="5"/>
    <n v="24.55"/>
    <x v="5"/>
    <n v="122.75"/>
    <d v="2025-02-09T20:34:59"/>
    <x v="4"/>
    <s v="3e5d7b25-0f4d-49b3-ad1d-eece0d59e9d4"/>
  </r>
  <r>
    <s v="ORD201222"/>
    <x v="10"/>
    <x v="0"/>
    <n v="1"/>
    <n v="18.3"/>
    <x v="5"/>
    <n v="18.3"/>
    <d v="2025-02-07T20:34:59"/>
    <x v="2"/>
    <s v="64517f81-479b-4079-aa92-98566cbca9c4"/>
  </r>
  <r>
    <s v="ORD201223"/>
    <x v="0"/>
    <x v="0"/>
    <n v="5"/>
    <n v="28.98"/>
    <x v="10"/>
    <n v="144.9"/>
    <d v="2024-04-20T20:34:59"/>
    <x v="2"/>
    <s v="2bd6834d-52bf-49ac-afd2-051e83404bb8"/>
  </r>
  <r>
    <s v="ORD201224"/>
    <x v="9"/>
    <x v="2"/>
    <n v="2"/>
    <n v="42.34"/>
    <x v="3"/>
    <n v="84.68"/>
    <d v="2024-07-06T20:34:59"/>
    <x v="0"/>
    <s v="fb4fac9c-a4f8-4265-9d6e-043025ed69b9"/>
  </r>
  <r>
    <s v="ORD201225"/>
    <x v="5"/>
    <x v="2"/>
    <n v="3"/>
    <n v="34.979999999999997"/>
    <x v="3"/>
    <n v="104.94"/>
    <d v="2024-07-04T20:34:59"/>
    <x v="4"/>
    <s v="dfae20f2-b717-4f25-9e2a-493bbca01f84"/>
  </r>
  <r>
    <s v="ORD201226"/>
    <x v="6"/>
    <x v="1"/>
    <n v="4"/>
    <n v="57.79"/>
    <x v="5"/>
    <n v="231.16"/>
    <d v="2025-02-04T20:34:59"/>
    <x v="0"/>
    <s v="8ad32ac2-2d1d-4161-b012-7d8cdcac1e77"/>
  </r>
  <r>
    <s v="ORD201227"/>
    <x v="4"/>
    <x v="0"/>
    <n v="1"/>
    <n v="46.96"/>
    <x v="3"/>
    <n v="46.96"/>
    <d v="2024-07-06T20:34:59"/>
    <x v="2"/>
    <s v="3bcfb021-d55b-4131-883a-b8ec4b714551"/>
  </r>
  <r>
    <s v="ORD201228"/>
    <x v="2"/>
    <x v="1"/>
    <n v="2"/>
    <n v="56.29"/>
    <x v="0"/>
    <n v="112.58"/>
    <d v="2024-09-17T20:34:59"/>
    <x v="0"/>
    <s v="0368892f-b702-45ff-aecd-244e0adb5d51"/>
  </r>
  <r>
    <s v="ORD201229"/>
    <x v="2"/>
    <x v="1"/>
    <n v="1"/>
    <n v="29.7"/>
    <x v="8"/>
    <n v="29.7"/>
    <d v="2024-06-01T20:34:59"/>
    <x v="3"/>
    <s v="12747936-4f55-413c-a1c3-cfa44c0d4f12"/>
  </r>
  <r>
    <s v="ORD201230"/>
    <x v="6"/>
    <x v="1"/>
    <n v="2"/>
    <n v="44.25"/>
    <x v="6"/>
    <n v="88.5"/>
    <d v="2025-03-04T20:34:59"/>
    <x v="2"/>
    <s v="2e77c9e2-f376-47df-a518-eacf39a66be8"/>
  </r>
  <r>
    <s v="ORD201231"/>
    <x v="1"/>
    <x v="1"/>
    <n v="2"/>
    <n v="38.75"/>
    <x v="0"/>
    <n v="77.5"/>
    <d v="2024-09-21T20:34:59"/>
    <x v="1"/>
    <s v="da58a921-a932-43ab-894e-b0d9b3ede567"/>
  </r>
  <r>
    <s v="ORD201232"/>
    <x v="2"/>
    <x v="1"/>
    <n v="2"/>
    <n v="10.99"/>
    <x v="3"/>
    <n v="21.98"/>
    <d v="2024-07-13T20:34:59"/>
    <x v="2"/>
    <s v="aa416512-b9d5-4883-865f-8d771652fa57"/>
  </r>
  <r>
    <s v="ORD201233"/>
    <x v="7"/>
    <x v="1"/>
    <n v="3"/>
    <n v="47.37"/>
    <x v="7"/>
    <n v="142.10999999999999"/>
    <d v="2024-10-28T20:34:59"/>
    <x v="1"/>
    <s v="7f7272fc-cda3-42bb-8384-412e627157d2"/>
  </r>
  <r>
    <s v="ORD201234"/>
    <x v="7"/>
    <x v="1"/>
    <n v="5"/>
    <n v="47.02"/>
    <x v="4"/>
    <n v="235.10000000000002"/>
    <d v="2024-11-18T20:34:59"/>
    <x v="2"/>
    <s v="68d1c634-9cb7-49ef-ac9c-0368f22529c3"/>
  </r>
  <r>
    <s v="ORD201235"/>
    <x v="8"/>
    <x v="0"/>
    <n v="2"/>
    <n v="58.32"/>
    <x v="6"/>
    <n v="116.64"/>
    <d v="2025-03-30T20:34:59"/>
    <x v="2"/>
    <s v="9939fb02-5d21-45f3-ab76-5539bae4b294"/>
  </r>
  <r>
    <s v="ORD201236"/>
    <x v="5"/>
    <x v="2"/>
    <n v="4"/>
    <n v="54.48"/>
    <x v="5"/>
    <n v="217.92"/>
    <d v="2025-02-14T20:34:59"/>
    <x v="0"/>
    <s v="545976f0-05f1-49ae-bd22-c33c61707352"/>
  </r>
  <r>
    <s v="ORD201237"/>
    <x v="4"/>
    <x v="0"/>
    <n v="3"/>
    <n v="35.159999999999997"/>
    <x v="9"/>
    <n v="105.47999999999999"/>
    <d v="2024-08-16T20:34:59"/>
    <x v="0"/>
    <s v="79f44e07-e36b-4610-b75f-01aef0c7da70"/>
  </r>
  <r>
    <s v="ORD201238"/>
    <x v="9"/>
    <x v="2"/>
    <n v="3"/>
    <n v="46.36"/>
    <x v="9"/>
    <n v="139.07999999999998"/>
    <d v="2024-08-15T20:34:59"/>
    <x v="2"/>
    <s v="18cd297b-54d9-492b-9d96-7b27824a4f25"/>
  </r>
  <r>
    <s v="ORD201239"/>
    <x v="9"/>
    <x v="2"/>
    <n v="3"/>
    <n v="41.54"/>
    <x v="4"/>
    <n v="124.62"/>
    <d v="2024-11-09T20:34:59"/>
    <x v="3"/>
    <s v="6fbe595a-8061-42ee-b343-2d86c20101b3"/>
  </r>
  <r>
    <s v="ORD201240"/>
    <x v="11"/>
    <x v="1"/>
    <n v="5"/>
    <n v="43.6"/>
    <x v="5"/>
    <n v="218"/>
    <d v="2025-02-20T20:34:59"/>
    <x v="4"/>
    <s v="e04334b4-f0d1-4feb-955a-94409a8bc203"/>
  </r>
  <r>
    <s v="ORD201241"/>
    <x v="2"/>
    <x v="1"/>
    <n v="3"/>
    <n v="58.41"/>
    <x v="6"/>
    <n v="175.23"/>
    <d v="2025-03-02T20:34:59"/>
    <x v="2"/>
    <s v="3b0f19a0-47c8-4812-9c47-4673c26393bb"/>
  </r>
  <r>
    <s v="ORD201242"/>
    <x v="5"/>
    <x v="2"/>
    <n v="2"/>
    <n v="56.9"/>
    <x v="1"/>
    <n v="113.8"/>
    <d v="2024-05-01T20:34:59"/>
    <x v="3"/>
    <s v="4c41bde9-b8fb-48c3-836d-ba028242e5cb"/>
  </r>
  <r>
    <s v="ORD201243"/>
    <x v="10"/>
    <x v="0"/>
    <n v="4"/>
    <n v="22.52"/>
    <x v="0"/>
    <n v="90.08"/>
    <d v="2024-09-22T20:34:59"/>
    <x v="0"/>
    <s v="dd90ba94-54f6-42ba-85ff-ec93a1af3830"/>
  </r>
  <r>
    <s v="ORD201244"/>
    <x v="1"/>
    <x v="1"/>
    <n v="2"/>
    <n v="52.13"/>
    <x v="9"/>
    <n v="104.26"/>
    <d v="2024-08-04T20:34:59"/>
    <x v="0"/>
    <s v="c3f93ded-ff69-4f30-8c77-ce198e0db721"/>
  </r>
  <r>
    <s v="ORD201245"/>
    <x v="8"/>
    <x v="0"/>
    <n v="4"/>
    <n v="15.65"/>
    <x v="4"/>
    <n v="62.6"/>
    <d v="2024-11-04T20:34:59"/>
    <x v="3"/>
    <s v="3a4a1263-d129-4829-92d4-91351649f23b"/>
  </r>
  <r>
    <s v="ORD201246"/>
    <x v="5"/>
    <x v="2"/>
    <n v="3"/>
    <n v="10.119999999999999"/>
    <x v="4"/>
    <n v="30.36"/>
    <d v="2024-11-05T20:34:59"/>
    <x v="4"/>
    <s v="22bfae4d-b895-4c54-bb63-9c2c5edfbe7b"/>
  </r>
  <r>
    <s v="ORD201247"/>
    <x v="3"/>
    <x v="2"/>
    <n v="5"/>
    <n v="45.06"/>
    <x v="0"/>
    <n v="225.3"/>
    <d v="2024-09-10T20:34:59"/>
    <x v="1"/>
    <s v="9c856a07-c482-45ae-ad9a-e03fc3d9dcda"/>
  </r>
  <r>
    <s v="ORD201248"/>
    <x v="1"/>
    <x v="1"/>
    <n v="4"/>
    <n v="15.67"/>
    <x v="2"/>
    <n v="62.68"/>
    <d v="2025-01-15T20:34:59"/>
    <x v="2"/>
    <s v="111c5351-bee9-4690-bfe7-ab5fde94c1a1"/>
  </r>
  <r>
    <s v="ORD201249"/>
    <x v="1"/>
    <x v="1"/>
    <n v="4"/>
    <n v="32.979999999999997"/>
    <x v="11"/>
    <n v="131.91999999999999"/>
    <d v="2024-12-14T20:34:59"/>
    <x v="2"/>
    <s v="89bfe0b6-84e2-418f-9084-94fa519bca51"/>
  </r>
  <r>
    <s v="ORD201250"/>
    <x v="3"/>
    <x v="2"/>
    <n v="2"/>
    <n v="55.71"/>
    <x v="11"/>
    <n v="111.42"/>
    <d v="2024-12-30T20:34:59"/>
    <x v="1"/>
    <s v="a469c424-4f17-45b1-bd60-c2836a9ce0d6"/>
  </r>
  <r>
    <s v="ORD201251"/>
    <x v="9"/>
    <x v="2"/>
    <n v="2"/>
    <n v="47.31"/>
    <x v="9"/>
    <n v="94.62"/>
    <d v="2024-08-02T20:34:59"/>
    <x v="1"/>
    <s v="7a8a71b2-65a2-46f8-8900-e1d980febe60"/>
  </r>
  <r>
    <s v="ORD201252"/>
    <x v="5"/>
    <x v="2"/>
    <n v="1"/>
    <n v="19.079999999999998"/>
    <x v="4"/>
    <n v="19.079999999999998"/>
    <d v="2024-11-28T20:34:59"/>
    <x v="3"/>
    <s v="5938e355-33a9-496f-b1c0-a3fc7bd002f0"/>
  </r>
  <r>
    <s v="ORD201253"/>
    <x v="7"/>
    <x v="1"/>
    <n v="1"/>
    <n v="48"/>
    <x v="4"/>
    <n v="48"/>
    <d v="2024-11-05T20:34:59"/>
    <x v="2"/>
    <s v="21da0c12-85ff-4e0d-86e0-ef2744df6011"/>
  </r>
  <r>
    <s v="ORD201254"/>
    <x v="0"/>
    <x v="0"/>
    <n v="1"/>
    <n v="51.76"/>
    <x v="0"/>
    <n v="51.76"/>
    <d v="2024-09-02T20:34:59"/>
    <x v="3"/>
    <s v="868da5ca-690f-49fc-88af-62dc03a05f14"/>
  </r>
  <r>
    <s v="ORD201255"/>
    <x v="9"/>
    <x v="2"/>
    <n v="5"/>
    <n v="41.03"/>
    <x v="8"/>
    <n v="205.15"/>
    <d v="2024-06-23T20:34:59"/>
    <x v="3"/>
    <s v="e914ea9f-9a75-480a-b4ae-f1ebd157e4ad"/>
  </r>
  <r>
    <s v="ORD201256"/>
    <x v="3"/>
    <x v="2"/>
    <n v="5"/>
    <n v="28.19"/>
    <x v="6"/>
    <n v="140.95000000000002"/>
    <d v="2025-03-25T20:34:59"/>
    <x v="4"/>
    <s v="1e7347f4-6e12-4a21-885c-f1fd009b0ac6"/>
  </r>
  <r>
    <s v="ORD201257"/>
    <x v="3"/>
    <x v="2"/>
    <n v="1"/>
    <n v="46.83"/>
    <x v="3"/>
    <n v="46.83"/>
    <d v="2024-07-12T20:34:59"/>
    <x v="2"/>
    <s v="c5672f5d-8ae2-42b6-9a1d-c77d883b5694"/>
  </r>
  <r>
    <s v="ORD201258"/>
    <x v="9"/>
    <x v="2"/>
    <n v="5"/>
    <n v="37.99"/>
    <x v="6"/>
    <n v="189.95000000000002"/>
    <d v="2025-03-30T20:34:59"/>
    <x v="4"/>
    <s v="f0b03ef6-db94-4447-949b-66a5ada08a17"/>
  </r>
  <r>
    <s v="ORD201259"/>
    <x v="8"/>
    <x v="0"/>
    <n v="2"/>
    <n v="23.71"/>
    <x v="2"/>
    <n v="47.42"/>
    <d v="2025-01-31T20:34:59"/>
    <x v="2"/>
    <s v="6df2aa27-9671-44db-b229-032b7ac281f6"/>
  </r>
  <r>
    <s v="ORD201260"/>
    <x v="8"/>
    <x v="0"/>
    <n v="2"/>
    <n v="18.64"/>
    <x v="4"/>
    <n v="37.28"/>
    <d v="2024-11-12T20:34:59"/>
    <x v="2"/>
    <s v="2912cd74-870b-4427-8e3e-8c7778d9cb64"/>
  </r>
  <r>
    <s v="ORD201261"/>
    <x v="0"/>
    <x v="0"/>
    <n v="4"/>
    <n v="27.4"/>
    <x v="11"/>
    <n v="109.6"/>
    <d v="2024-12-08T20:34:59"/>
    <x v="1"/>
    <s v="5529da09-d510-4c5b-877b-3c16d472adc0"/>
  </r>
  <r>
    <s v="ORD201262"/>
    <x v="5"/>
    <x v="2"/>
    <n v="1"/>
    <n v="39.76"/>
    <x v="4"/>
    <n v="39.76"/>
    <d v="2024-11-02T20:34:59"/>
    <x v="2"/>
    <s v="6b2cb220-2130-4832-ae66-c96609f542cb"/>
  </r>
  <r>
    <s v="ORD201263"/>
    <x v="2"/>
    <x v="1"/>
    <n v="5"/>
    <n v="19.22"/>
    <x v="4"/>
    <n v="96.1"/>
    <d v="2024-11-14T20:34:59"/>
    <x v="1"/>
    <s v="c80ddfb9-4f14-4012-b45a-192be6f2b8f1"/>
  </r>
  <r>
    <s v="ORD201264"/>
    <x v="10"/>
    <x v="0"/>
    <n v="5"/>
    <n v="16.04"/>
    <x v="2"/>
    <n v="80.199999999999989"/>
    <d v="2025-01-03T20:34:59"/>
    <x v="1"/>
    <s v="d237578a-11ca-4382-8ed0-729b644d5af9"/>
  </r>
  <r>
    <s v="ORD201265"/>
    <x v="10"/>
    <x v="0"/>
    <n v="1"/>
    <n v="40.67"/>
    <x v="9"/>
    <n v="40.67"/>
    <d v="2024-08-04T20:34:59"/>
    <x v="1"/>
    <s v="ce36effd-582c-4703-bbc1-530e5307c8f5"/>
  </r>
  <r>
    <s v="ORD201266"/>
    <x v="2"/>
    <x v="1"/>
    <n v="3"/>
    <n v="27.67"/>
    <x v="7"/>
    <n v="83.01"/>
    <d v="2024-10-12T20:34:59"/>
    <x v="1"/>
    <s v="6b08de4e-19e5-4cf4-bc92-75dc827a339b"/>
  </r>
  <r>
    <s v="ORD201267"/>
    <x v="5"/>
    <x v="2"/>
    <n v="2"/>
    <n v="52.2"/>
    <x v="6"/>
    <n v="104.4"/>
    <d v="2025-03-02T20:34:59"/>
    <x v="2"/>
    <s v="2ced2725-f0f4-42e9-a08c-fdbaec07d67c"/>
  </r>
  <r>
    <s v="ORD201268"/>
    <x v="7"/>
    <x v="1"/>
    <n v="2"/>
    <n v="29.58"/>
    <x v="10"/>
    <n v="59.16"/>
    <d v="2024-04-21T20:34:59"/>
    <x v="0"/>
    <s v="89b81b74-08e2-4acc-b67a-cb02a0aefd6c"/>
  </r>
  <r>
    <s v="ORD201269"/>
    <x v="8"/>
    <x v="0"/>
    <n v="3"/>
    <n v="34.049999999999997"/>
    <x v="2"/>
    <n v="102.14999999999999"/>
    <d v="2025-01-11T20:34:59"/>
    <x v="2"/>
    <s v="236ce704-c0d3-4073-a230-99a80591b485"/>
  </r>
  <r>
    <s v="ORD201270"/>
    <x v="0"/>
    <x v="0"/>
    <n v="1"/>
    <n v="12.17"/>
    <x v="8"/>
    <n v="12.17"/>
    <d v="2024-06-09T20:34:59"/>
    <x v="3"/>
    <s v="b0f582d7-1593-451b-9e38-da1853bc02be"/>
  </r>
  <r>
    <s v="ORD201271"/>
    <x v="0"/>
    <x v="0"/>
    <n v="1"/>
    <n v="38.700000000000003"/>
    <x v="9"/>
    <n v="38.700000000000003"/>
    <d v="2024-08-25T20:34:59"/>
    <x v="1"/>
    <s v="5d48031d-a54a-4700-8ce9-337a09ddf18d"/>
  </r>
  <r>
    <s v="ORD201272"/>
    <x v="10"/>
    <x v="0"/>
    <n v="2"/>
    <n v="19.11"/>
    <x v="6"/>
    <n v="38.22"/>
    <d v="2025-03-06T20:34:59"/>
    <x v="3"/>
    <s v="8a685c76-f14a-4bab-ae76-64a4f89ef30e"/>
  </r>
  <r>
    <s v="ORD201273"/>
    <x v="1"/>
    <x v="1"/>
    <n v="3"/>
    <n v="10.3"/>
    <x v="11"/>
    <n v="30.900000000000002"/>
    <d v="2024-12-31T20:34:59"/>
    <x v="3"/>
    <s v="60e8b97a-703a-43fe-a0fd-2df9d6188b29"/>
  </r>
  <r>
    <s v="ORD201274"/>
    <x v="3"/>
    <x v="2"/>
    <n v="1"/>
    <n v="30.75"/>
    <x v="10"/>
    <n v="30.75"/>
    <d v="2024-04-06T20:34:59"/>
    <x v="2"/>
    <s v="89e68698-f7fd-4244-9429-5fd104f4b786"/>
  </r>
  <r>
    <s v="ORD201275"/>
    <x v="6"/>
    <x v="1"/>
    <n v="1"/>
    <n v="17.96"/>
    <x v="6"/>
    <n v="17.96"/>
    <d v="2025-03-22T20:34:59"/>
    <x v="2"/>
    <s v="5ff6e3f0-6c4d-4aa5-92f4-571d4ae6f7de"/>
  </r>
  <r>
    <s v="ORD201276"/>
    <x v="5"/>
    <x v="2"/>
    <n v="5"/>
    <n v="12.19"/>
    <x v="7"/>
    <n v="60.949999999999996"/>
    <d v="2024-10-05T20:34:59"/>
    <x v="2"/>
    <s v="a56bad81-7dfa-49e6-ab80-585f08f5d301"/>
  </r>
  <r>
    <s v="ORD201277"/>
    <x v="11"/>
    <x v="1"/>
    <n v="1"/>
    <n v="24.34"/>
    <x v="10"/>
    <n v="24.34"/>
    <d v="2024-04-29T20:34:59"/>
    <x v="1"/>
    <s v="86e5f1b4-2a37-44f3-a9ff-44d405d7aa5f"/>
  </r>
  <r>
    <s v="ORD201278"/>
    <x v="2"/>
    <x v="1"/>
    <n v="5"/>
    <n v="21.68"/>
    <x v="8"/>
    <n v="108.4"/>
    <d v="2024-06-08T20:34:59"/>
    <x v="0"/>
    <s v="ba70cb5b-48b6-43aa-b529-ddb5b44fe14f"/>
  </r>
  <r>
    <s v="ORD201279"/>
    <x v="2"/>
    <x v="1"/>
    <n v="1"/>
    <n v="29.62"/>
    <x v="11"/>
    <n v="29.62"/>
    <d v="2024-12-04T20:34:59"/>
    <x v="1"/>
    <s v="5fea84a8-e266-46cf-9b00-f6b27d1dd47f"/>
  </r>
  <r>
    <s v="ORD201280"/>
    <x v="2"/>
    <x v="1"/>
    <n v="4"/>
    <n v="17.489999999999998"/>
    <x v="7"/>
    <n v="69.959999999999994"/>
    <d v="2024-10-08T20:34:59"/>
    <x v="4"/>
    <s v="5a48c636-3abb-464a-956a-9a0ae3881520"/>
  </r>
  <r>
    <s v="ORD201281"/>
    <x v="7"/>
    <x v="1"/>
    <n v="2"/>
    <n v="48.23"/>
    <x v="9"/>
    <n v="96.46"/>
    <d v="2024-08-07T20:34:59"/>
    <x v="4"/>
    <s v="267b6c0b-a711-400b-904e-d794d843be92"/>
  </r>
  <r>
    <s v="ORD201282"/>
    <x v="3"/>
    <x v="2"/>
    <n v="3"/>
    <n v="55.7"/>
    <x v="1"/>
    <n v="167.10000000000002"/>
    <d v="2024-05-25T20:34:59"/>
    <x v="2"/>
    <s v="ba81be2b-0a0f-4929-8b94-2d0808ad40ed"/>
  </r>
  <r>
    <s v="ORD201283"/>
    <x v="5"/>
    <x v="2"/>
    <n v="5"/>
    <n v="31.58"/>
    <x v="2"/>
    <n v="157.89999999999998"/>
    <d v="2025-01-31T20:34:59"/>
    <x v="2"/>
    <s v="a681de46-d981-4d48-8e0b-c357ded4d5a0"/>
  </r>
  <r>
    <s v="ORD201284"/>
    <x v="9"/>
    <x v="2"/>
    <n v="3"/>
    <n v="29.49"/>
    <x v="8"/>
    <n v="88.47"/>
    <d v="2024-06-15T20:34:59"/>
    <x v="0"/>
    <s v="c10d5de6-7bc3-4830-90c5-84451c62e765"/>
  </r>
  <r>
    <s v="ORD201285"/>
    <x v="4"/>
    <x v="0"/>
    <n v="3"/>
    <n v="31.5"/>
    <x v="8"/>
    <n v="94.5"/>
    <d v="2024-06-30T20:34:59"/>
    <x v="0"/>
    <s v="c0267eb1-5707-445c-ae01-eb8ba215c125"/>
  </r>
  <r>
    <s v="ORD201286"/>
    <x v="1"/>
    <x v="1"/>
    <n v="2"/>
    <n v="37.43"/>
    <x v="8"/>
    <n v="74.86"/>
    <d v="2024-06-24T20:34:59"/>
    <x v="4"/>
    <s v="e4536f21-edc4-4ca2-a336-e7d874b15ee5"/>
  </r>
  <r>
    <s v="ORD201287"/>
    <x v="8"/>
    <x v="0"/>
    <n v="1"/>
    <n v="23.65"/>
    <x v="9"/>
    <n v="23.65"/>
    <d v="2024-08-20T20:34:59"/>
    <x v="0"/>
    <s v="d516bd4d-bb5b-4ca1-b2fb-cf3c2a08b155"/>
  </r>
  <r>
    <s v="ORD201288"/>
    <x v="5"/>
    <x v="2"/>
    <n v="1"/>
    <n v="37.11"/>
    <x v="10"/>
    <n v="37.11"/>
    <d v="2024-04-04T20:34:59"/>
    <x v="1"/>
    <s v="c17c4da1-e0a2-4938-8fc9-e91949f552fd"/>
  </r>
  <r>
    <s v="ORD201289"/>
    <x v="5"/>
    <x v="2"/>
    <n v="1"/>
    <n v="33.979999999999997"/>
    <x v="1"/>
    <n v="33.979999999999997"/>
    <d v="2024-05-30T20:34:59"/>
    <x v="2"/>
    <s v="ea5ab246-28ef-43e6-b777-2dba6c182c8b"/>
  </r>
  <r>
    <s v="ORD201290"/>
    <x v="4"/>
    <x v="0"/>
    <n v="1"/>
    <n v="59.29"/>
    <x v="10"/>
    <n v="59.29"/>
    <d v="2024-04-09T20:34:59"/>
    <x v="2"/>
    <s v="a9fead2c-950f-4e94-934a-a4a03b48a2a5"/>
  </r>
  <r>
    <s v="ORD201291"/>
    <x v="9"/>
    <x v="2"/>
    <n v="4"/>
    <n v="35.590000000000003"/>
    <x v="6"/>
    <n v="142.36000000000001"/>
    <d v="2025-03-02T20:34:59"/>
    <x v="1"/>
    <s v="ed25fb07-f14d-4650-a28f-19b7019d6d19"/>
  </r>
  <r>
    <s v="ORD201292"/>
    <x v="7"/>
    <x v="1"/>
    <n v="2"/>
    <n v="18.03"/>
    <x v="7"/>
    <n v="36.06"/>
    <d v="2024-10-25T20:34:59"/>
    <x v="1"/>
    <s v="be9071b6-07f5-46a9-ae5c-7dc0a40bf8a1"/>
  </r>
  <r>
    <s v="ORD201293"/>
    <x v="1"/>
    <x v="1"/>
    <n v="1"/>
    <n v="27.59"/>
    <x v="6"/>
    <n v="27.59"/>
    <d v="2025-03-12T20:34:59"/>
    <x v="0"/>
    <s v="de71616b-176b-4ece-b8bc-506f72e58054"/>
  </r>
  <r>
    <s v="ORD201294"/>
    <x v="6"/>
    <x v="1"/>
    <n v="1"/>
    <n v="35.590000000000003"/>
    <x v="9"/>
    <n v="35.590000000000003"/>
    <d v="2024-08-20T20:34:59"/>
    <x v="3"/>
    <s v="bbb70a17-a043-4b4b-a450-d568ab684975"/>
  </r>
  <r>
    <s v="ORD201295"/>
    <x v="4"/>
    <x v="0"/>
    <n v="1"/>
    <n v="57.24"/>
    <x v="7"/>
    <n v="57.24"/>
    <d v="2024-10-04T20:34:59"/>
    <x v="2"/>
    <s v="1b4ef243-3911-4c9d-8cf6-2c5c4dd625f7"/>
  </r>
  <r>
    <s v="ORD201296"/>
    <x v="1"/>
    <x v="1"/>
    <n v="1"/>
    <n v="55.67"/>
    <x v="11"/>
    <n v="55.67"/>
    <d v="2024-12-13T20:34:59"/>
    <x v="0"/>
    <s v="8b62940c-f434-48c9-95b3-fadb772704c1"/>
  </r>
  <r>
    <s v="ORD201297"/>
    <x v="3"/>
    <x v="2"/>
    <n v="2"/>
    <n v="50.94"/>
    <x v="9"/>
    <n v="101.88"/>
    <d v="2024-08-01T20:34:59"/>
    <x v="4"/>
    <s v="9921157a-bcd8-4b20-98a5-446d1bf40d18"/>
  </r>
  <r>
    <s v="ORD201298"/>
    <x v="7"/>
    <x v="1"/>
    <n v="1"/>
    <n v="51.91"/>
    <x v="0"/>
    <n v="51.91"/>
    <d v="2024-09-04T20:34:59"/>
    <x v="1"/>
    <s v="0e4d7d44-86df-4d29-b9b3-9c06b1b1fa3c"/>
  </r>
  <r>
    <s v="ORD201299"/>
    <x v="1"/>
    <x v="1"/>
    <n v="2"/>
    <n v="42.7"/>
    <x v="0"/>
    <n v="85.4"/>
    <d v="2024-09-14T20:34:59"/>
    <x v="4"/>
    <s v="2460ac54-701f-4a40-92ca-2af3db29a0a6"/>
  </r>
  <r>
    <s v="ORD201300"/>
    <x v="6"/>
    <x v="1"/>
    <n v="4"/>
    <n v="43.42"/>
    <x v="0"/>
    <n v="173.68"/>
    <d v="2024-09-23T20:34:59"/>
    <x v="4"/>
    <s v="1fdd2e76-f4a8-4b1c-99a3-068f36aa0404"/>
  </r>
  <r>
    <s v="ORD201301"/>
    <x v="0"/>
    <x v="0"/>
    <n v="4"/>
    <n v="16.07"/>
    <x v="3"/>
    <n v="64.28"/>
    <d v="2024-07-17T20:34:59"/>
    <x v="4"/>
    <s v="3060aa85-1c05-437d-b961-15de9ee5182d"/>
  </r>
  <r>
    <s v="ORD201302"/>
    <x v="11"/>
    <x v="1"/>
    <n v="1"/>
    <n v="31.81"/>
    <x v="1"/>
    <n v="31.81"/>
    <d v="2024-05-18T20:34:59"/>
    <x v="3"/>
    <s v="190a0ff0-ce60-4063-b071-6fc49f3d930f"/>
  </r>
  <r>
    <s v="ORD201303"/>
    <x v="7"/>
    <x v="1"/>
    <n v="2"/>
    <n v="34.54"/>
    <x v="2"/>
    <n v="69.08"/>
    <d v="2025-01-15T20:34:59"/>
    <x v="1"/>
    <s v="e5eeb041-6e0b-435a-961c-b5d4cf179a1d"/>
  </r>
  <r>
    <s v="ORD201304"/>
    <x v="3"/>
    <x v="2"/>
    <n v="2"/>
    <n v="25.49"/>
    <x v="6"/>
    <n v="50.98"/>
    <d v="2025-03-27T20:34:59"/>
    <x v="3"/>
    <s v="a9445636-69bd-4e82-b566-ae74eaeb18cc"/>
  </r>
  <r>
    <s v="ORD201305"/>
    <x v="3"/>
    <x v="2"/>
    <n v="1"/>
    <n v="13.22"/>
    <x v="3"/>
    <n v="13.22"/>
    <d v="2024-07-24T20:34:59"/>
    <x v="1"/>
    <s v="4d0c5c48-1634-49d7-9c4d-dae392588116"/>
  </r>
  <r>
    <s v="ORD201306"/>
    <x v="5"/>
    <x v="2"/>
    <n v="5"/>
    <n v="49.9"/>
    <x v="5"/>
    <n v="249.5"/>
    <d v="2025-02-18T20:34:59"/>
    <x v="0"/>
    <s v="acc09bfb-1996-4970-8ed2-0cab3017f56d"/>
  </r>
  <r>
    <s v="ORD201307"/>
    <x v="4"/>
    <x v="0"/>
    <n v="3"/>
    <n v="42.86"/>
    <x v="7"/>
    <n v="128.57999999999998"/>
    <d v="2024-10-23T20:34:59"/>
    <x v="1"/>
    <s v="828468cd-ab2b-4725-a8b7-12876f40d7f6"/>
  </r>
  <r>
    <s v="ORD201308"/>
    <x v="2"/>
    <x v="1"/>
    <n v="5"/>
    <n v="12.3"/>
    <x v="4"/>
    <n v="61.5"/>
    <d v="2024-11-16T20:34:59"/>
    <x v="3"/>
    <s v="8b7241b9-95d7-4f6a-be4f-8a8bfd18c7e7"/>
  </r>
  <r>
    <s v="ORD201309"/>
    <x v="2"/>
    <x v="1"/>
    <n v="5"/>
    <n v="34.56"/>
    <x v="0"/>
    <n v="172.8"/>
    <d v="2024-09-14T20:34:59"/>
    <x v="3"/>
    <s v="018139f8-280b-4aa7-a6ee-18bd040d8c80"/>
  </r>
  <r>
    <s v="ORD201310"/>
    <x v="9"/>
    <x v="2"/>
    <n v="1"/>
    <n v="43.56"/>
    <x v="2"/>
    <n v="43.56"/>
    <d v="2025-01-20T20:34:59"/>
    <x v="0"/>
    <s v="5e63f03a-425a-4c88-a5fb-cabd9076eedd"/>
  </r>
  <r>
    <s v="ORD201311"/>
    <x v="1"/>
    <x v="1"/>
    <n v="2"/>
    <n v="53.91"/>
    <x v="9"/>
    <n v="107.82"/>
    <d v="2024-08-15T20:34:59"/>
    <x v="0"/>
    <s v="bc5bd906-a33f-428d-902f-25c4f5e66659"/>
  </r>
  <r>
    <s v="ORD201312"/>
    <x v="8"/>
    <x v="0"/>
    <n v="2"/>
    <n v="18.739999999999998"/>
    <x v="11"/>
    <n v="37.479999999999997"/>
    <d v="2024-12-25T20:34:59"/>
    <x v="0"/>
    <s v="b5075b84-59fe-4e86-8875-22e2c89e9db2"/>
  </r>
  <r>
    <s v="ORD201313"/>
    <x v="3"/>
    <x v="2"/>
    <n v="2"/>
    <n v="19.41"/>
    <x v="6"/>
    <n v="38.82"/>
    <d v="2025-03-02T20:34:59"/>
    <x v="4"/>
    <s v="76976d9b-5ca7-4596-b652-5a08fca5aa05"/>
  </r>
  <r>
    <s v="ORD201314"/>
    <x v="6"/>
    <x v="1"/>
    <n v="3"/>
    <n v="11.29"/>
    <x v="10"/>
    <n v="33.869999999999997"/>
    <d v="2024-04-28T20:34:59"/>
    <x v="0"/>
    <s v="23805c11-0912-4d3d-b9fd-f7042a716b2c"/>
  </r>
  <r>
    <s v="ORD201315"/>
    <x v="6"/>
    <x v="1"/>
    <n v="5"/>
    <n v="41.84"/>
    <x v="11"/>
    <n v="209.20000000000002"/>
    <d v="2024-12-11T20:34:59"/>
    <x v="1"/>
    <s v="f3641ebb-cb4a-4b16-b386-1627b6b121eb"/>
  </r>
  <r>
    <s v="ORD201316"/>
    <x v="10"/>
    <x v="0"/>
    <n v="5"/>
    <n v="51.23"/>
    <x v="9"/>
    <n v="256.14999999999998"/>
    <d v="2024-08-01T20:34:59"/>
    <x v="0"/>
    <s v="1bb57336-3d71-428b-b276-f2b6ad932882"/>
  </r>
  <r>
    <s v="ORD201317"/>
    <x v="10"/>
    <x v="0"/>
    <n v="1"/>
    <n v="44.03"/>
    <x v="7"/>
    <n v="44.03"/>
    <d v="2024-10-25T20:34:59"/>
    <x v="3"/>
    <s v="ffdb6d46-87ab-4a02-9d42-d923c749d173"/>
  </r>
  <r>
    <s v="ORD201318"/>
    <x v="10"/>
    <x v="0"/>
    <n v="5"/>
    <n v="22.96"/>
    <x v="1"/>
    <n v="114.80000000000001"/>
    <d v="2024-05-02T20:34:59"/>
    <x v="0"/>
    <s v="d96718e2-30bc-4346-ae6c-8af3a6c07d34"/>
  </r>
  <r>
    <s v="ORD201319"/>
    <x v="10"/>
    <x v="0"/>
    <n v="2"/>
    <n v="57.52"/>
    <x v="10"/>
    <n v="115.04"/>
    <d v="2024-04-20T20:34:59"/>
    <x v="3"/>
    <s v="d2c65137-bbbb-41b2-a09d-617a918de397"/>
  </r>
  <r>
    <s v="ORD201320"/>
    <x v="4"/>
    <x v="0"/>
    <n v="3"/>
    <n v="21.22"/>
    <x v="1"/>
    <n v="63.66"/>
    <d v="2024-05-16T20:34:59"/>
    <x v="4"/>
    <s v="e15dc37a-5115-4607-95cd-a489ab4d1498"/>
  </r>
  <r>
    <s v="ORD201321"/>
    <x v="5"/>
    <x v="2"/>
    <n v="2"/>
    <n v="38.729999999999997"/>
    <x v="9"/>
    <n v="77.459999999999994"/>
    <d v="2024-08-12T20:34:59"/>
    <x v="3"/>
    <s v="aa84d415-eeb2-41a3-bcdd-88336c807730"/>
  </r>
  <r>
    <s v="ORD201322"/>
    <x v="9"/>
    <x v="2"/>
    <n v="1"/>
    <n v="47.24"/>
    <x v="5"/>
    <n v="47.24"/>
    <d v="2025-02-24T20:34:59"/>
    <x v="1"/>
    <s v="c561299b-0ab1-484c-bbd2-18691a27b7e2"/>
  </r>
  <r>
    <s v="ORD201323"/>
    <x v="11"/>
    <x v="1"/>
    <n v="5"/>
    <n v="56.84"/>
    <x v="3"/>
    <n v="284.20000000000005"/>
    <d v="2024-07-27T20:34:59"/>
    <x v="3"/>
    <s v="508502bd-e2ce-49fc-b41f-ec952552228e"/>
  </r>
  <r>
    <s v="ORD201324"/>
    <x v="3"/>
    <x v="2"/>
    <n v="5"/>
    <n v="35.51"/>
    <x v="0"/>
    <n v="177.54999999999998"/>
    <d v="2024-09-22T20:34:59"/>
    <x v="4"/>
    <s v="743c2460-33bc-45f2-9185-2b5d888d088a"/>
  </r>
  <r>
    <s v="ORD201325"/>
    <x v="3"/>
    <x v="2"/>
    <n v="4"/>
    <n v="51.94"/>
    <x v="9"/>
    <n v="207.76"/>
    <d v="2024-08-13T20:34:59"/>
    <x v="4"/>
    <s v="5d6d7d6b-fac0-45b2-8333-b75ea437d60e"/>
  </r>
  <r>
    <s v="ORD201326"/>
    <x v="7"/>
    <x v="1"/>
    <n v="2"/>
    <n v="45.01"/>
    <x v="7"/>
    <n v="90.02"/>
    <d v="2024-10-12T20:34:59"/>
    <x v="3"/>
    <s v="4857555f-27aa-42e2-a631-9256bbabdb9b"/>
  </r>
  <r>
    <s v="ORD201327"/>
    <x v="5"/>
    <x v="2"/>
    <n v="4"/>
    <n v="48.56"/>
    <x v="8"/>
    <n v="194.24"/>
    <d v="2024-06-18T20:34:59"/>
    <x v="2"/>
    <s v="dd91e245-44f3-4675-afad-4e8242801f0e"/>
  </r>
  <r>
    <s v="ORD201328"/>
    <x v="9"/>
    <x v="2"/>
    <n v="2"/>
    <n v="40.47"/>
    <x v="8"/>
    <n v="80.94"/>
    <d v="2024-06-01T20:34:59"/>
    <x v="2"/>
    <s v="d62bbc96-3395-4dfc-9557-ca8f0e0a0d9b"/>
  </r>
  <r>
    <s v="ORD201329"/>
    <x v="0"/>
    <x v="0"/>
    <n v="5"/>
    <n v="43.03"/>
    <x v="6"/>
    <n v="215.15"/>
    <d v="2025-03-01T20:34:59"/>
    <x v="2"/>
    <s v="366929ae-3a6f-46f2-8bcf-cc40fc651ca8"/>
  </r>
  <r>
    <s v="ORD201330"/>
    <x v="7"/>
    <x v="1"/>
    <n v="2"/>
    <n v="38.71"/>
    <x v="11"/>
    <n v="77.42"/>
    <d v="2024-12-05T20:34:59"/>
    <x v="1"/>
    <s v="e89c9681-4fdf-4e11-9bff-f7759b26dcdd"/>
  </r>
  <r>
    <s v="ORD201331"/>
    <x v="8"/>
    <x v="0"/>
    <n v="4"/>
    <n v="53.91"/>
    <x v="0"/>
    <n v="215.64"/>
    <d v="2024-09-27T20:34:59"/>
    <x v="4"/>
    <s v="27352435-01cb-45ee-b440-3e62c6b8be67"/>
  </r>
  <r>
    <s v="ORD201332"/>
    <x v="1"/>
    <x v="1"/>
    <n v="5"/>
    <n v="11.89"/>
    <x v="5"/>
    <n v="59.45"/>
    <d v="2025-02-08T20:34:59"/>
    <x v="2"/>
    <s v="95bd2466-5569-4611-b297-a6b7860062fd"/>
  </r>
  <r>
    <s v="ORD201333"/>
    <x v="0"/>
    <x v="0"/>
    <n v="5"/>
    <n v="20.16"/>
    <x v="6"/>
    <n v="100.8"/>
    <d v="2025-03-06T20:34:59"/>
    <x v="2"/>
    <s v="ae3cd2a2-4517-4c72-8cb4-e8bfb8774ee1"/>
  </r>
  <r>
    <s v="ORD201334"/>
    <x v="6"/>
    <x v="1"/>
    <n v="2"/>
    <n v="37.380000000000003"/>
    <x v="12"/>
    <n v="74.760000000000005"/>
    <d v="2025-04-02T20:34:59"/>
    <x v="0"/>
    <s v="25c22da4-ded0-48c2-ad3c-87f4b40b48b1"/>
  </r>
  <r>
    <s v="ORD201335"/>
    <x v="8"/>
    <x v="0"/>
    <n v="1"/>
    <n v="18.78"/>
    <x v="0"/>
    <n v="18.78"/>
    <d v="2024-09-04T20:34:59"/>
    <x v="4"/>
    <s v="292ce482-1eed-4387-8803-5d820a7884f1"/>
  </r>
  <r>
    <s v="ORD201336"/>
    <x v="5"/>
    <x v="2"/>
    <n v="4"/>
    <n v="50.99"/>
    <x v="1"/>
    <n v="203.96"/>
    <d v="2024-05-07T20:34:59"/>
    <x v="4"/>
    <s v="cde98e6e-b25a-4b55-afcf-8a829ab8f2d7"/>
  </r>
  <r>
    <s v="ORD201337"/>
    <x v="11"/>
    <x v="1"/>
    <n v="2"/>
    <n v="15.5"/>
    <x v="8"/>
    <n v="31"/>
    <d v="2024-06-19T20:34:59"/>
    <x v="2"/>
    <s v="bff32578-05f9-4f66-95cc-c902a4eeb36d"/>
  </r>
  <r>
    <s v="ORD201338"/>
    <x v="9"/>
    <x v="2"/>
    <n v="5"/>
    <n v="28.22"/>
    <x v="11"/>
    <n v="141.1"/>
    <d v="2024-12-01T20:34:59"/>
    <x v="2"/>
    <s v="7a816c35-1f5b-416b-81fb-9a35314ed468"/>
  </r>
  <r>
    <s v="ORD201339"/>
    <x v="9"/>
    <x v="2"/>
    <n v="3"/>
    <n v="31.24"/>
    <x v="1"/>
    <n v="93.72"/>
    <d v="2024-05-18T20:34:59"/>
    <x v="0"/>
    <s v="a28fc4cc-5573-41ce-b87e-d5f6f901f6cd"/>
  </r>
  <r>
    <s v="ORD201340"/>
    <x v="1"/>
    <x v="1"/>
    <n v="2"/>
    <n v="29.16"/>
    <x v="7"/>
    <n v="58.32"/>
    <d v="2024-10-28T20:34:59"/>
    <x v="0"/>
    <s v="5cf393f2-0b22-4f6d-a074-636b94d9e5a6"/>
  </r>
  <r>
    <s v="ORD201341"/>
    <x v="10"/>
    <x v="0"/>
    <n v="2"/>
    <n v="25.5"/>
    <x v="0"/>
    <n v="51"/>
    <d v="2024-09-03T20:34:59"/>
    <x v="1"/>
    <s v="73f6c87e-55fa-41b4-bbd6-4d802c58b454"/>
  </r>
  <r>
    <s v="ORD201342"/>
    <x v="7"/>
    <x v="1"/>
    <n v="1"/>
    <n v="32.549999999999997"/>
    <x v="7"/>
    <n v="32.549999999999997"/>
    <d v="2024-10-07T20:34:59"/>
    <x v="4"/>
    <s v="f00a7287-3162-409f-a8c9-b4655729de18"/>
  </r>
  <r>
    <s v="ORD201343"/>
    <x v="4"/>
    <x v="0"/>
    <n v="1"/>
    <n v="39.6"/>
    <x v="1"/>
    <n v="39.6"/>
    <d v="2024-05-18T20:34:59"/>
    <x v="2"/>
    <s v="cdf8af91-1473-4a40-b23f-5bf8400ba5ac"/>
  </r>
  <r>
    <s v="ORD201344"/>
    <x v="9"/>
    <x v="2"/>
    <n v="2"/>
    <n v="25.8"/>
    <x v="1"/>
    <n v="51.6"/>
    <d v="2024-05-15T20:34:59"/>
    <x v="0"/>
    <s v="8f99aa96-74b9-4111-afd3-d328932f79be"/>
  </r>
  <r>
    <s v="ORD201345"/>
    <x v="8"/>
    <x v="0"/>
    <n v="1"/>
    <n v="15.44"/>
    <x v="9"/>
    <n v="15.44"/>
    <d v="2024-08-20T20:34:59"/>
    <x v="0"/>
    <s v="e3643e35-3f7e-4ac2-a3a3-378c082c9e06"/>
  </r>
  <r>
    <s v="ORD201346"/>
    <x v="10"/>
    <x v="0"/>
    <n v="1"/>
    <n v="23.98"/>
    <x v="10"/>
    <n v="23.98"/>
    <d v="2024-04-29T20:34:59"/>
    <x v="4"/>
    <s v="5b1de7e4-6a3e-42f0-9dcd-303ed445cf95"/>
  </r>
  <r>
    <s v="ORD201347"/>
    <x v="5"/>
    <x v="2"/>
    <n v="4"/>
    <n v="50.77"/>
    <x v="3"/>
    <n v="203.08"/>
    <d v="2024-07-16T20:34:59"/>
    <x v="4"/>
    <s v="dab30bcf-6b50-4a46-b300-7b7e3354a410"/>
  </r>
  <r>
    <s v="ORD201348"/>
    <x v="4"/>
    <x v="0"/>
    <n v="2"/>
    <n v="21.88"/>
    <x v="1"/>
    <n v="43.76"/>
    <d v="2024-05-06T20:34:59"/>
    <x v="1"/>
    <s v="cc187a08-d97b-4acf-9363-777f28b261e4"/>
  </r>
  <r>
    <s v="ORD201349"/>
    <x v="3"/>
    <x v="2"/>
    <n v="4"/>
    <n v="44.74"/>
    <x v="0"/>
    <n v="178.96"/>
    <d v="2024-09-04T20:34:59"/>
    <x v="1"/>
    <s v="c64ca041-5978-4800-bdbf-07e22443d193"/>
  </r>
  <r>
    <s v="ORD201350"/>
    <x v="4"/>
    <x v="0"/>
    <n v="5"/>
    <n v="16.95"/>
    <x v="4"/>
    <n v="84.75"/>
    <d v="2024-11-21T20:34:59"/>
    <x v="2"/>
    <s v="84b31125-a3ad-472b-ae16-2e1c18141be0"/>
  </r>
  <r>
    <s v="ORD201351"/>
    <x v="5"/>
    <x v="2"/>
    <n v="1"/>
    <n v="19.77"/>
    <x v="9"/>
    <n v="19.77"/>
    <d v="2024-08-23T20:34:59"/>
    <x v="4"/>
    <s v="8846f690-99e7-4565-ab09-e28864238f60"/>
  </r>
  <r>
    <s v="ORD201352"/>
    <x v="6"/>
    <x v="1"/>
    <n v="4"/>
    <n v="35.299999999999997"/>
    <x v="4"/>
    <n v="141.19999999999999"/>
    <d v="2024-11-18T20:34:59"/>
    <x v="0"/>
    <s v="97f26c73-36ca-4c01-b3ad-bca7f21b3d87"/>
  </r>
  <r>
    <s v="ORD201353"/>
    <x v="11"/>
    <x v="1"/>
    <n v="3"/>
    <n v="46.52"/>
    <x v="1"/>
    <n v="139.56"/>
    <d v="2024-05-14T20:34:59"/>
    <x v="2"/>
    <s v="e917b20c-1de8-4a51-a4d4-63c6321e49a9"/>
  </r>
  <r>
    <s v="ORD201354"/>
    <x v="9"/>
    <x v="2"/>
    <n v="3"/>
    <n v="12.13"/>
    <x v="10"/>
    <n v="36.39"/>
    <d v="2024-04-25T20:34:59"/>
    <x v="0"/>
    <s v="486b09a2-6626-4338-b0ed-adb226deb439"/>
  </r>
  <r>
    <s v="ORD201355"/>
    <x v="6"/>
    <x v="1"/>
    <n v="3"/>
    <n v="20.51"/>
    <x v="10"/>
    <n v="61.53"/>
    <d v="2024-04-07T20:34:59"/>
    <x v="4"/>
    <s v="0d44de46-fbf6-4756-9d0c-cddb7153b863"/>
  </r>
  <r>
    <s v="ORD201356"/>
    <x v="4"/>
    <x v="0"/>
    <n v="1"/>
    <n v="30.16"/>
    <x v="2"/>
    <n v="30.16"/>
    <d v="2025-01-01T20:34:59"/>
    <x v="0"/>
    <s v="576f9dea-0fd0-438c-96ef-afded0b8a8a7"/>
  </r>
  <r>
    <s v="ORD201357"/>
    <x v="6"/>
    <x v="1"/>
    <n v="1"/>
    <n v="31.45"/>
    <x v="5"/>
    <n v="31.45"/>
    <d v="2025-02-13T20:34:59"/>
    <x v="4"/>
    <s v="022f5ccb-af51-457a-b414-f4ad477de27d"/>
  </r>
  <r>
    <s v="ORD201358"/>
    <x v="3"/>
    <x v="2"/>
    <n v="5"/>
    <n v="39.380000000000003"/>
    <x v="2"/>
    <n v="196.9"/>
    <d v="2025-01-25T20:34:59"/>
    <x v="3"/>
    <s v="2d1d7891-8c8d-4578-9296-3141515ef129"/>
  </r>
  <r>
    <s v="ORD201359"/>
    <x v="6"/>
    <x v="1"/>
    <n v="4"/>
    <n v="36.89"/>
    <x v="8"/>
    <n v="147.56"/>
    <d v="2024-06-16T20:34:59"/>
    <x v="4"/>
    <s v="8635d14a-f46b-4ae7-9d4d-dec1c908f294"/>
  </r>
  <r>
    <s v="ORD201360"/>
    <x v="2"/>
    <x v="1"/>
    <n v="3"/>
    <n v="40.57"/>
    <x v="7"/>
    <n v="121.71000000000001"/>
    <d v="2024-10-14T20:34:59"/>
    <x v="0"/>
    <s v="66636b38-c8ea-48ad-8c38-7ed5a12ffe8c"/>
  </r>
  <r>
    <s v="ORD201361"/>
    <x v="0"/>
    <x v="0"/>
    <n v="3"/>
    <n v="58.23"/>
    <x v="5"/>
    <n v="174.69"/>
    <d v="2025-02-23T20:34:59"/>
    <x v="2"/>
    <s v="49c4ac55-9345-4063-b109-9cdb5efea721"/>
  </r>
  <r>
    <s v="ORD201362"/>
    <x v="9"/>
    <x v="2"/>
    <n v="1"/>
    <n v="28.92"/>
    <x v="2"/>
    <n v="28.92"/>
    <d v="2025-01-07T20:34:59"/>
    <x v="2"/>
    <s v="d3c7e31e-fb56-47dd-b07d-8d2ba7cad00e"/>
  </r>
  <r>
    <s v="ORD201363"/>
    <x v="5"/>
    <x v="2"/>
    <n v="2"/>
    <n v="48.16"/>
    <x v="10"/>
    <n v="96.32"/>
    <d v="2024-04-10T20:34:59"/>
    <x v="2"/>
    <s v="bdefceb5-e846-467d-b2b4-42c30b712ff3"/>
  </r>
  <r>
    <s v="ORD201364"/>
    <x v="3"/>
    <x v="2"/>
    <n v="3"/>
    <n v="35.28"/>
    <x v="7"/>
    <n v="105.84"/>
    <d v="2024-10-19T20:34:59"/>
    <x v="4"/>
    <s v="da465da3-bdcc-4831-9a1a-dcb66f7337d7"/>
  </r>
  <r>
    <s v="ORD201365"/>
    <x v="2"/>
    <x v="1"/>
    <n v="5"/>
    <n v="43.31"/>
    <x v="0"/>
    <n v="216.55"/>
    <d v="2024-09-16T20:34:59"/>
    <x v="2"/>
    <s v="e2bc4bb7-fa67-4fe1-b8dd-df3fa4e5abca"/>
  </r>
  <r>
    <s v="ORD201366"/>
    <x v="1"/>
    <x v="1"/>
    <n v="4"/>
    <n v="25.25"/>
    <x v="8"/>
    <n v="101"/>
    <d v="2024-06-17T20:34:59"/>
    <x v="1"/>
    <s v="0bff81b1-8ca7-4ab2-8e93-b3305105433b"/>
  </r>
  <r>
    <s v="ORD201367"/>
    <x v="10"/>
    <x v="0"/>
    <n v="2"/>
    <n v="35.99"/>
    <x v="1"/>
    <n v="71.98"/>
    <d v="2024-05-04T20:34:59"/>
    <x v="4"/>
    <s v="69b238e7-89df-4f3c-b51d-89af002a406a"/>
  </r>
  <r>
    <s v="ORD201368"/>
    <x v="5"/>
    <x v="2"/>
    <n v="4"/>
    <n v="19.52"/>
    <x v="3"/>
    <n v="78.08"/>
    <d v="2024-07-13T20:34:59"/>
    <x v="2"/>
    <s v="1bb0366f-498d-46c6-a82f-901700dd8341"/>
  </r>
  <r>
    <s v="ORD201369"/>
    <x v="8"/>
    <x v="0"/>
    <n v="3"/>
    <n v="47.68"/>
    <x v="4"/>
    <n v="143.04"/>
    <d v="2024-11-19T20:34:59"/>
    <x v="1"/>
    <s v="dc15a8a6-a97d-4301-9bfd-20c53dd577d4"/>
  </r>
  <r>
    <s v="ORD201370"/>
    <x v="11"/>
    <x v="1"/>
    <n v="2"/>
    <n v="38.39"/>
    <x v="3"/>
    <n v="76.78"/>
    <d v="2024-07-17T20:34:59"/>
    <x v="2"/>
    <s v="c64410dc-5eb7-4fb9-ad85-dcf40872b92a"/>
  </r>
  <r>
    <s v="ORD201371"/>
    <x v="10"/>
    <x v="0"/>
    <n v="3"/>
    <n v="49.75"/>
    <x v="2"/>
    <n v="149.25"/>
    <d v="2025-01-08T20:34:59"/>
    <x v="3"/>
    <s v="341af712-7174-41d8-b998-3920b6330772"/>
  </r>
  <r>
    <s v="ORD201372"/>
    <x v="6"/>
    <x v="1"/>
    <n v="2"/>
    <n v="24.46"/>
    <x v="6"/>
    <n v="48.92"/>
    <d v="2025-03-13T20:34:59"/>
    <x v="0"/>
    <s v="3f66f47c-7d85-460c-b0cd-a2cee34c1b08"/>
  </r>
  <r>
    <s v="ORD201373"/>
    <x v="5"/>
    <x v="2"/>
    <n v="4"/>
    <n v="15.8"/>
    <x v="9"/>
    <n v="63.2"/>
    <d v="2024-08-05T20:34:59"/>
    <x v="0"/>
    <s v="8103cb9c-a60c-4d66-af6f-94c3607298b0"/>
  </r>
  <r>
    <s v="ORD201374"/>
    <x v="10"/>
    <x v="0"/>
    <n v="1"/>
    <n v="16.170000000000002"/>
    <x v="10"/>
    <n v="16.170000000000002"/>
    <d v="2024-04-30T20:34:59"/>
    <x v="4"/>
    <s v="10ae0023-2349-4ecb-87c0-6f6dc675890e"/>
  </r>
  <r>
    <s v="ORD201375"/>
    <x v="3"/>
    <x v="2"/>
    <n v="5"/>
    <n v="48.45"/>
    <x v="10"/>
    <n v="242.25"/>
    <d v="2024-04-19T20:34:59"/>
    <x v="1"/>
    <s v="5b32e62a-bd8a-45b7-b7c2-e53ec5c65c67"/>
  </r>
  <r>
    <s v="ORD201376"/>
    <x v="10"/>
    <x v="0"/>
    <n v="4"/>
    <n v="53.04"/>
    <x v="8"/>
    <n v="212.16"/>
    <d v="2024-06-12T20:34:59"/>
    <x v="0"/>
    <s v="483c2ccc-13cd-4c44-bac0-565e526b4012"/>
  </r>
  <r>
    <s v="ORD201377"/>
    <x v="3"/>
    <x v="2"/>
    <n v="3"/>
    <n v="29.17"/>
    <x v="2"/>
    <n v="87.51"/>
    <d v="2025-01-12T20:34:59"/>
    <x v="2"/>
    <s v="0c962e80-e31f-4533-9089-835003532baa"/>
  </r>
  <r>
    <s v="ORD201378"/>
    <x v="8"/>
    <x v="0"/>
    <n v="5"/>
    <n v="10.53"/>
    <x v="6"/>
    <n v="52.65"/>
    <d v="2025-03-25T20:34:59"/>
    <x v="3"/>
    <s v="fd9de3b8-380e-43f4-a4a2-06282fdf0443"/>
  </r>
  <r>
    <s v="ORD201379"/>
    <x v="4"/>
    <x v="0"/>
    <n v="4"/>
    <n v="56.71"/>
    <x v="3"/>
    <n v="226.84"/>
    <d v="2024-07-18T20:34:59"/>
    <x v="3"/>
    <s v="64ccb208-0b8b-47b4-813c-7cee325ee8b6"/>
  </r>
  <r>
    <s v="ORD201380"/>
    <x v="5"/>
    <x v="2"/>
    <n v="3"/>
    <n v="17.2"/>
    <x v="6"/>
    <n v="51.599999999999994"/>
    <d v="2025-03-31T20:34:59"/>
    <x v="1"/>
    <s v="f573f3ea-b5d3-430f-a04b-15798270b87b"/>
  </r>
  <r>
    <s v="ORD201381"/>
    <x v="6"/>
    <x v="1"/>
    <n v="2"/>
    <n v="13.66"/>
    <x v="2"/>
    <n v="27.32"/>
    <d v="2025-01-23T20:34:59"/>
    <x v="0"/>
    <s v="d5f95e9a-43e0-4312-9108-116689b1db01"/>
  </r>
  <r>
    <s v="ORD201382"/>
    <x v="5"/>
    <x v="2"/>
    <n v="2"/>
    <n v="58.77"/>
    <x v="2"/>
    <n v="117.54"/>
    <d v="2025-01-30T20:34:59"/>
    <x v="4"/>
    <s v="93b5ee53-85c3-42fb-848a-dbfa860d3b9c"/>
  </r>
  <r>
    <s v="ORD201383"/>
    <x v="0"/>
    <x v="0"/>
    <n v="3"/>
    <n v="14.61"/>
    <x v="11"/>
    <n v="43.83"/>
    <d v="2024-12-12T20:34:59"/>
    <x v="0"/>
    <s v="381ef79a-2df1-4296-8bee-da00dbf6c0d6"/>
  </r>
  <r>
    <s v="ORD201384"/>
    <x v="8"/>
    <x v="0"/>
    <n v="3"/>
    <n v="36.619999999999997"/>
    <x v="5"/>
    <n v="109.85999999999999"/>
    <d v="2025-02-07T20:34:59"/>
    <x v="0"/>
    <s v="fe02bbd1-f322-4053-8f9d-ed711becb92c"/>
  </r>
  <r>
    <s v="ORD201385"/>
    <x v="0"/>
    <x v="0"/>
    <n v="5"/>
    <n v="14.89"/>
    <x v="4"/>
    <n v="74.45"/>
    <d v="2024-11-15T20:34:59"/>
    <x v="2"/>
    <s v="c90e6372-a663-4691-a888-b746333365fc"/>
  </r>
  <r>
    <s v="ORD201386"/>
    <x v="4"/>
    <x v="0"/>
    <n v="2"/>
    <n v="25.24"/>
    <x v="0"/>
    <n v="50.48"/>
    <d v="2024-09-27T20:34:59"/>
    <x v="4"/>
    <s v="0d40adc3-edb7-43a6-b91e-5b2ff25bf3a1"/>
  </r>
  <r>
    <s v="ORD201387"/>
    <x v="7"/>
    <x v="1"/>
    <n v="3"/>
    <n v="47.57"/>
    <x v="7"/>
    <n v="142.71"/>
    <d v="2024-10-31T20:34:59"/>
    <x v="0"/>
    <s v="3a43ae78-64ff-4782-8c0a-1e9e1388acad"/>
  </r>
  <r>
    <s v="ORD201388"/>
    <x v="2"/>
    <x v="1"/>
    <n v="3"/>
    <n v="57.88"/>
    <x v="11"/>
    <n v="173.64000000000001"/>
    <d v="2024-12-24T20:34:59"/>
    <x v="4"/>
    <s v="1f6bb280-fde0-4088-8e44-30f6e76a1991"/>
  </r>
  <r>
    <s v="ORD201389"/>
    <x v="9"/>
    <x v="2"/>
    <n v="2"/>
    <n v="11.75"/>
    <x v="6"/>
    <n v="23.5"/>
    <d v="2025-03-31T20:34:59"/>
    <x v="2"/>
    <s v="eb258010-059e-4efe-9344-6bb3fd2ccc7e"/>
  </r>
  <r>
    <s v="ORD201390"/>
    <x v="11"/>
    <x v="1"/>
    <n v="2"/>
    <n v="53"/>
    <x v="0"/>
    <n v="106"/>
    <d v="2024-09-23T20:34:59"/>
    <x v="1"/>
    <s v="86d5f619-5d6e-4076-91be-96b919a1e81d"/>
  </r>
  <r>
    <s v="ORD201391"/>
    <x v="10"/>
    <x v="0"/>
    <n v="1"/>
    <n v="38.24"/>
    <x v="2"/>
    <n v="38.24"/>
    <d v="2025-01-12T20:34:59"/>
    <x v="3"/>
    <s v="9693d7cc-ebf2-44c7-b714-b72ed4b3222c"/>
  </r>
  <r>
    <s v="ORD201392"/>
    <x v="5"/>
    <x v="2"/>
    <n v="2"/>
    <n v="15.97"/>
    <x v="11"/>
    <n v="31.94"/>
    <d v="2024-12-06T20:34:59"/>
    <x v="0"/>
    <s v="a77b3ec7-f361-4a62-b7c4-546d57b2fc1d"/>
  </r>
  <r>
    <s v="ORD201393"/>
    <x v="5"/>
    <x v="2"/>
    <n v="2"/>
    <n v="55.86"/>
    <x v="11"/>
    <n v="111.72"/>
    <d v="2024-12-17T20:34:59"/>
    <x v="1"/>
    <s v="de3cd7c2-41d0-4c94-a392-1d8bff69f99e"/>
  </r>
  <r>
    <s v="ORD201394"/>
    <x v="3"/>
    <x v="2"/>
    <n v="5"/>
    <n v="14.45"/>
    <x v="6"/>
    <n v="72.25"/>
    <d v="2025-03-22T20:34:59"/>
    <x v="4"/>
    <s v="0085f90a-409f-4d07-9125-9c56b74a0a4b"/>
  </r>
  <r>
    <s v="ORD201395"/>
    <x v="6"/>
    <x v="1"/>
    <n v="2"/>
    <n v="20.8"/>
    <x v="1"/>
    <n v="41.6"/>
    <d v="2024-05-24T20:34:59"/>
    <x v="3"/>
    <s v="3cd43da8-caeb-4c35-8526-830f98009c29"/>
  </r>
  <r>
    <s v="ORD201396"/>
    <x v="4"/>
    <x v="0"/>
    <n v="5"/>
    <n v="55.52"/>
    <x v="10"/>
    <n v="277.60000000000002"/>
    <d v="2024-04-05T20:34:59"/>
    <x v="0"/>
    <s v="cb104b05-ab8a-4c96-b4e9-68cefea12c03"/>
  </r>
  <r>
    <s v="ORD201397"/>
    <x v="2"/>
    <x v="1"/>
    <n v="1"/>
    <n v="21.48"/>
    <x v="3"/>
    <n v="21.48"/>
    <d v="2024-07-27T20:34:59"/>
    <x v="3"/>
    <s v="869d8888-143b-47f8-bb63-8ac451105a4a"/>
  </r>
  <r>
    <s v="ORD201398"/>
    <x v="2"/>
    <x v="1"/>
    <n v="4"/>
    <n v="32.159999999999997"/>
    <x v="4"/>
    <n v="128.63999999999999"/>
    <d v="2024-11-11T20:34:59"/>
    <x v="2"/>
    <s v="73bdbe99-d5d0-4acb-aaa5-0d147d66b500"/>
  </r>
  <r>
    <s v="ORD201399"/>
    <x v="6"/>
    <x v="1"/>
    <n v="2"/>
    <n v="57.21"/>
    <x v="9"/>
    <n v="114.42"/>
    <d v="2024-08-08T20:34:59"/>
    <x v="2"/>
    <s v="eecab984-27dc-4d8a-884f-099e212aeca2"/>
  </r>
  <r>
    <s v="ORD201400"/>
    <x v="3"/>
    <x v="2"/>
    <n v="1"/>
    <n v="26.62"/>
    <x v="11"/>
    <n v="26.62"/>
    <d v="2024-12-02T20:34:59"/>
    <x v="3"/>
    <s v="5d8c2ccb-23c5-431e-a697-de0c90bfc4da"/>
  </r>
  <r>
    <s v="ORD201401"/>
    <x v="5"/>
    <x v="2"/>
    <n v="2"/>
    <n v="23.32"/>
    <x v="3"/>
    <n v="46.64"/>
    <d v="2024-07-02T20:34:59"/>
    <x v="3"/>
    <s v="7a4ff231-5f1a-4c8e-935f-4e1909a9e076"/>
  </r>
  <r>
    <s v="ORD201402"/>
    <x v="1"/>
    <x v="1"/>
    <n v="5"/>
    <n v="27.28"/>
    <x v="7"/>
    <n v="136.4"/>
    <d v="2024-10-09T20:34:59"/>
    <x v="3"/>
    <s v="7d9a1af4-9974-4e09-9eb7-92819e87f4bf"/>
  </r>
  <r>
    <s v="ORD201403"/>
    <x v="9"/>
    <x v="2"/>
    <n v="4"/>
    <n v="58.64"/>
    <x v="0"/>
    <n v="234.56"/>
    <d v="2024-09-12T20:34:59"/>
    <x v="2"/>
    <s v="c727e30e-9d9b-4c1f-bb29-203bd1a60ac8"/>
  </r>
  <r>
    <s v="ORD201404"/>
    <x v="6"/>
    <x v="1"/>
    <n v="3"/>
    <n v="39.630000000000003"/>
    <x v="7"/>
    <n v="118.89000000000001"/>
    <d v="2024-10-04T20:34:59"/>
    <x v="1"/>
    <s v="95988c75-e560-4a30-945e-39906b2296a5"/>
  </r>
  <r>
    <s v="ORD201405"/>
    <x v="9"/>
    <x v="2"/>
    <n v="4"/>
    <n v="50.73"/>
    <x v="9"/>
    <n v="202.92"/>
    <d v="2024-08-30T20:34:59"/>
    <x v="2"/>
    <s v="c523a8b3-4053-4c36-b348-c091e96d2d51"/>
  </r>
  <r>
    <s v="ORD201406"/>
    <x v="7"/>
    <x v="1"/>
    <n v="2"/>
    <n v="41.8"/>
    <x v="11"/>
    <n v="83.6"/>
    <d v="2024-12-24T20:34:59"/>
    <x v="0"/>
    <s v="3903bc03-fa07-444c-a96e-923fbb590c76"/>
  </r>
  <r>
    <s v="ORD201407"/>
    <x v="6"/>
    <x v="1"/>
    <n v="5"/>
    <n v="10.02"/>
    <x v="2"/>
    <n v="50.099999999999994"/>
    <d v="2025-01-10T20:34:59"/>
    <x v="4"/>
    <s v="cac8abd8-baf7-4875-a4e2-8d30c18a1077"/>
  </r>
  <r>
    <s v="ORD201408"/>
    <x v="3"/>
    <x v="2"/>
    <n v="2"/>
    <n v="31.74"/>
    <x v="6"/>
    <n v="63.48"/>
    <d v="2025-03-27T20:34:59"/>
    <x v="3"/>
    <s v="013a2515-a121-47cd-b012-549aa16d339e"/>
  </r>
  <r>
    <s v="ORD201409"/>
    <x v="10"/>
    <x v="0"/>
    <n v="3"/>
    <n v="58.47"/>
    <x v="4"/>
    <n v="175.41"/>
    <d v="2024-11-20T20:34:59"/>
    <x v="3"/>
    <s v="dde920aa-a509-4eb6-8af3-8836008aeae1"/>
  </r>
  <r>
    <s v="ORD201410"/>
    <x v="7"/>
    <x v="1"/>
    <n v="5"/>
    <n v="38.5"/>
    <x v="10"/>
    <n v="192.5"/>
    <d v="2024-04-07T20:34:59"/>
    <x v="3"/>
    <s v="d0f15dce-1cfe-404b-8dba-6a5a857ece17"/>
  </r>
  <r>
    <s v="ORD201411"/>
    <x v="10"/>
    <x v="0"/>
    <n v="4"/>
    <n v="12.95"/>
    <x v="9"/>
    <n v="51.8"/>
    <d v="2024-08-22T20:34:59"/>
    <x v="0"/>
    <s v="a8a4336e-8a32-4090-a57b-f1648c38e4e7"/>
  </r>
  <r>
    <s v="ORD201412"/>
    <x v="4"/>
    <x v="0"/>
    <n v="3"/>
    <n v="41.96"/>
    <x v="7"/>
    <n v="125.88"/>
    <d v="2024-10-22T20:34:59"/>
    <x v="3"/>
    <s v="65d6ce78-b37a-4cb4-ae66-3ba0ef6ad037"/>
  </r>
  <r>
    <s v="ORD201413"/>
    <x v="8"/>
    <x v="0"/>
    <n v="2"/>
    <n v="10.38"/>
    <x v="5"/>
    <n v="20.76"/>
    <d v="2025-02-05T20:34:59"/>
    <x v="2"/>
    <s v="0e4f0807-e357-4ee6-b1ef-08cda532e21d"/>
  </r>
  <r>
    <s v="ORD201414"/>
    <x v="9"/>
    <x v="2"/>
    <n v="2"/>
    <n v="53.18"/>
    <x v="5"/>
    <n v="106.36"/>
    <d v="2025-02-22T20:34:59"/>
    <x v="4"/>
    <s v="53d4efa8-9b9c-4a03-b56c-076d7aa13e01"/>
  </r>
  <r>
    <s v="ORD201415"/>
    <x v="1"/>
    <x v="1"/>
    <n v="2"/>
    <n v="14.66"/>
    <x v="6"/>
    <n v="29.32"/>
    <d v="2025-03-29T20:34:59"/>
    <x v="0"/>
    <s v="e58f92d5-ee10-443f-b3c4-3bc9e63f1eb2"/>
  </r>
  <r>
    <s v="ORD201416"/>
    <x v="3"/>
    <x v="2"/>
    <n v="3"/>
    <n v="45.05"/>
    <x v="2"/>
    <n v="135.14999999999998"/>
    <d v="2025-01-27T20:34:59"/>
    <x v="2"/>
    <s v="3d1675a5-e608-46dd-975f-099883ccda9d"/>
  </r>
  <r>
    <s v="ORD201417"/>
    <x v="10"/>
    <x v="0"/>
    <n v="2"/>
    <n v="20.53"/>
    <x v="2"/>
    <n v="41.06"/>
    <d v="2025-01-09T20:34:59"/>
    <x v="3"/>
    <s v="cf610e9d-f795-4824-9e05-24595da8411c"/>
  </r>
  <r>
    <s v="ORD201418"/>
    <x v="5"/>
    <x v="2"/>
    <n v="1"/>
    <n v="26.75"/>
    <x v="6"/>
    <n v="26.75"/>
    <d v="2025-03-23T20:34:59"/>
    <x v="1"/>
    <s v="6d02d35a-1387-4339-8098-312bc4783871"/>
  </r>
  <r>
    <s v="ORD201419"/>
    <x v="1"/>
    <x v="1"/>
    <n v="2"/>
    <n v="39.78"/>
    <x v="12"/>
    <n v="79.56"/>
    <d v="2025-04-01T20:34:59"/>
    <x v="3"/>
    <s v="4537e517-5c87-4a93-b5a9-b84977cd8b99"/>
  </r>
  <r>
    <s v="ORD201420"/>
    <x v="3"/>
    <x v="2"/>
    <n v="1"/>
    <n v="40.1"/>
    <x v="4"/>
    <n v="40.1"/>
    <d v="2024-11-05T20:34:59"/>
    <x v="0"/>
    <s v="aad830ee-d3aa-402e-940f-8e975c9d181e"/>
  </r>
  <r>
    <s v="ORD201421"/>
    <x v="6"/>
    <x v="1"/>
    <n v="2"/>
    <n v="19.8"/>
    <x v="9"/>
    <n v="39.6"/>
    <d v="2024-08-19T20:34:59"/>
    <x v="4"/>
    <s v="1549ef63-9d7c-4b1c-abc2-2d364f02cfc6"/>
  </r>
  <r>
    <s v="ORD201422"/>
    <x v="6"/>
    <x v="1"/>
    <n v="5"/>
    <n v="52.17"/>
    <x v="1"/>
    <n v="260.85000000000002"/>
    <d v="2024-05-22T20:34:59"/>
    <x v="2"/>
    <s v="92a9f82e-aaae-4fbc-adae-8615c23af8fa"/>
  </r>
  <r>
    <s v="ORD201423"/>
    <x v="10"/>
    <x v="0"/>
    <n v="2"/>
    <n v="16.64"/>
    <x v="8"/>
    <n v="33.28"/>
    <d v="2024-06-12T20:34:59"/>
    <x v="2"/>
    <s v="53039a8a-00ce-40f2-8e7d-e52716c9a3aa"/>
  </r>
  <r>
    <s v="ORD201424"/>
    <x v="9"/>
    <x v="2"/>
    <n v="3"/>
    <n v="42.02"/>
    <x v="5"/>
    <n v="126.06"/>
    <d v="2025-02-09T20:34:59"/>
    <x v="4"/>
    <s v="f61d3c41-b9b7-41a2-b6a6-bcd1d1a5cecf"/>
  </r>
  <r>
    <s v="ORD201425"/>
    <x v="7"/>
    <x v="1"/>
    <n v="5"/>
    <n v="41.82"/>
    <x v="10"/>
    <n v="209.1"/>
    <d v="2024-04-10T20:34:59"/>
    <x v="3"/>
    <s v="a580bbe0-bf51-4d78-ab2d-078d151e8ec9"/>
  </r>
  <r>
    <s v="ORD201426"/>
    <x v="10"/>
    <x v="0"/>
    <n v="2"/>
    <n v="50.99"/>
    <x v="0"/>
    <n v="101.98"/>
    <d v="2024-09-13T20:34:59"/>
    <x v="0"/>
    <s v="38d0307f-f9aa-4b75-8ec6-aa59d1ae011a"/>
  </r>
  <r>
    <s v="ORD201427"/>
    <x v="2"/>
    <x v="1"/>
    <n v="1"/>
    <n v="26.1"/>
    <x v="10"/>
    <n v="26.1"/>
    <d v="2024-04-05T20:34:59"/>
    <x v="0"/>
    <s v="bfde0bdd-f1b1-46c6-95d4-8ec8c96ea8a7"/>
  </r>
  <r>
    <s v="ORD201428"/>
    <x v="3"/>
    <x v="2"/>
    <n v="1"/>
    <n v="18.57"/>
    <x v="10"/>
    <n v="18.57"/>
    <d v="2024-04-08T20:34:59"/>
    <x v="3"/>
    <s v="e89c9a22-5d9a-4e4d-90ca-53429fbaa63d"/>
  </r>
  <r>
    <s v="ORD201429"/>
    <x v="2"/>
    <x v="1"/>
    <n v="2"/>
    <n v="19.03"/>
    <x v="4"/>
    <n v="38.06"/>
    <d v="2024-11-19T20:34:59"/>
    <x v="2"/>
    <s v="16db07ce-c3ad-4ea7-aa1e-7812a5c24cee"/>
  </r>
  <r>
    <s v="ORD201430"/>
    <x v="7"/>
    <x v="1"/>
    <n v="3"/>
    <n v="58"/>
    <x v="10"/>
    <n v="174"/>
    <d v="2024-04-23T20:34:59"/>
    <x v="1"/>
    <s v="80e793d9-78e7-4a9c-b4b4-1ad59992d598"/>
  </r>
  <r>
    <s v="ORD201431"/>
    <x v="0"/>
    <x v="0"/>
    <n v="3"/>
    <n v="31.17"/>
    <x v="5"/>
    <n v="93.51"/>
    <d v="2025-02-21T20:34:59"/>
    <x v="2"/>
    <s v="9d163a84-31f4-4333-ba32-95ce739213a9"/>
  </r>
  <r>
    <s v="ORD201432"/>
    <x v="0"/>
    <x v="0"/>
    <n v="2"/>
    <n v="24.73"/>
    <x v="4"/>
    <n v="49.46"/>
    <d v="2024-11-08T20:34:59"/>
    <x v="4"/>
    <s v="af6ae247-badc-4db5-94fb-e0a70f7fd78e"/>
  </r>
  <r>
    <s v="ORD201433"/>
    <x v="1"/>
    <x v="1"/>
    <n v="3"/>
    <n v="10.8"/>
    <x v="5"/>
    <n v="32.400000000000006"/>
    <d v="2025-02-03T20:34:59"/>
    <x v="4"/>
    <s v="94cbfd62-0d67-44dc-bb86-b1a055cdfa08"/>
  </r>
  <r>
    <s v="ORD201434"/>
    <x v="2"/>
    <x v="1"/>
    <n v="5"/>
    <n v="36.64"/>
    <x v="6"/>
    <n v="183.2"/>
    <d v="2025-03-02T20:34:59"/>
    <x v="2"/>
    <s v="9cf8545f-5f60-4c17-b2ad-005c2140429d"/>
  </r>
  <r>
    <s v="ORD201435"/>
    <x v="7"/>
    <x v="1"/>
    <n v="2"/>
    <n v="22.18"/>
    <x v="0"/>
    <n v="44.36"/>
    <d v="2024-09-17T20:34:59"/>
    <x v="1"/>
    <s v="74e89f7a-1213-403b-8dca-e42edd5e54ee"/>
  </r>
  <r>
    <s v="ORD201436"/>
    <x v="5"/>
    <x v="2"/>
    <n v="1"/>
    <n v="14.06"/>
    <x v="7"/>
    <n v="14.06"/>
    <d v="2024-10-15T20:34:59"/>
    <x v="1"/>
    <s v="d1149d2a-1fe9-4d93-8b65-7afdf4276a00"/>
  </r>
  <r>
    <s v="ORD201437"/>
    <x v="9"/>
    <x v="2"/>
    <n v="5"/>
    <n v="44.67"/>
    <x v="4"/>
    <n v="223.35000000000002"/>
    <d v="2024-11-05T20:34:59"/>
    <x v="0"/>
    <s v="f81182c3-646c-456e-b09f-8232eb2adaeb"/>
  </r>
  <r>
    <s v="ORD201438"/>
    <x v="1"/>
    <x v="1"/>
    <n v="3"/>
    <n v="27.33"/>
    <x v="2"/>
    <n v="81.99"/>
    <d v="2025-01-25T20:34:59"/>
    <x v="3"/>
    <s v="a64267c5-5ff1-449d-b51d-6bf8d17e9a84"/>
  </r>
  <r>
    <s v="ORD201439"/>
    <x v="1"/>
    <x v="1"/>
    <n v="4"/>
    <n v="53.88"/>
    <x v="9"/>
    <n v="215.52"/>
    <d v="2024-08-28T20:34:59"/>
    <x v="2"/>
    <s v="d06a8f4f-9a2b-4b0e-a386-cbb7471a1e34"/>
  </r>
  <r>
    <s v="ORD201440"/>
    <x v="4"/>
    <x v="0"/>
    <n v="4"/>
    <n v="56.84"/>
    <x v="2"/>
    <n v="227.36"/>
    <d v="2025-01-30T20:34:59"/>
    <x v="1"/>
    <s v="e4ec1a3c-8a34-41cb-90a8-eea0823ed807"/>
  </r>
  <r>
    <s v="ORD201441"/>
    <x v="8"/>
    <x v="0"/>
    <n v="1"/>
    <n v="13.77"/>
    <x v="1"/>
    <n v="13.77"/>
    <d v="2024-05-17T20:34:59"/>
    <x v="2"/>
    <s v="24539180-dfbf-48e2-b23c-759ab76af6c0"/>
  </r>
  <r>
    <s v="ORD201442"/>
    <x v="5"/>
    <x v="2"/>
    <n v="5"/>
    <n v="46.08"/>
    <x v="6"/>
    <n v="230.39999999999998"/>
    <d v="2025-03-08T20:34:59"/>
    <x v="2"/>
    <s v="6e8f09f6-7da2-4803-8f7a-46b70fbcbc41"/>
  </r>
  <r>
    <s v="ORD201443"/>
    <x v="2"/>
    <x v="1"/>
    <n v="1"/>
    <n v="54.33"/>
    <x v="5"/>
    <n v="54.33"/>
    <d v="2025-02-16T20:34:59"/>
    <x v="4"/>
    <s v="225a2099-5cf6-48e3-b8f7-320d74abc103"/>
  </r>
  <r>
    <s v="ORD201444"/>
    <x v="5"/>
    <x v="2"/>
    <n v="4"/>
    <n v="37.130000000000003"/>
    <x v="1"/>
    <n v="148.52000000000001"/>
    <d v="2024-05-06T20:34:59"/>
    <x v="3"/>
    <s v="ac4751dc-d50d-439d-b60a-97b735bcd546"/>
  </r>
  <r>
    <s v="ORD201445"/>
    <x v="8"/>
    <x v="0"/>
    <n v="5"/>
    <n v="47.48"/>
    <x v="2"/>
    <n v="237.39999999999998"/>
    <d v="2025-01-17T20:34:59"/>
    <x v="2"/>
    <s v="89606fdf-994f-4628-9828-e854ac26b99d"/>
  </r>
  <r>
    <s v="ORD201446"/>
    <x v="8"/>
    <x v="0"/>
    <n v="3"/>
    <n v="10.81"/>
    <x v="5"/>
    <n v="32.43"/>
    <d v="2025-02-25T20:34:59"/>
    <x v="0"/>
    <s v="94aff528-c62e-4c3b-8749-13295c9ad9b4"/>
  </r>
  <r>
    <s v="ORD201447"/>
    <x v="4"/>
    <x v="0"/>
    <n v="2"/>
    <n v="10.97"/>
    <x v="2"/>
    <n v="21.94"/>
    <d v="2025-01-17T20:34:59"/>
    <x v="2"/>
    <s v="246ebe0a-6836-4c06-852d-16ee817c7703"/>
  </r>
  <r>
    <s v="ORD201448"/>
    <x v="0"/>
    <x v="0"/>
    <n v="5"/>
    <n v="18.16"/>
    <x v="8"/>
    <n v="90.8"/>
    <d v="2024-06-24T20:34:59"/>
    <x v="3"/>
    <s v="a3c31637-661a-452e-abb2-2f34097f9e5f"/>
  </r>
  <r>
    <s v="ORD201449"/>
    <x v="8"/>
    <x v="0"/>
    <n v="3"/>
    <n v="40.76"/>
    <x v="6"/>
    <n v="122.28"/>
    <d v="2025-03-09T20:34:59"/>
    <x v="4"/>
    <s v="29336156-eca9-4fc1-8b73-bcec8917a1b0"/>
  </r>
  <r>
    <s v="ORD201450"/>
    <x v="3"/>
    <x v="2"/>
    <n v="3"/>
    <n v="52.15"/>
    <x v="3"/>
    <n v="156.44999999999999"/>
    <d v="2024-07-18T20:34:59"/>
    <x v="3"/>
    <s v="9e513bcc-e98c-419a-ba35-a700b7857bb0"/>
  </r>
  <r>
    <s v="ORD201451"/>
    <x v="11"/>
    <x v="1"/>
    <n v="5"/>
    <n v="21.53"/>
    <x v="3"/>
    <n v="107.65"/>
    <d v="2024-07-28T20:34:59"/>
    <x v="1"/>
    <s v="3a8ead47-d2a6-43ca-930b-3cce1b5b0470"/>
  </r>
  <r>
    <s v="ORD201452"/>
    <x v="10"/>
    <x v="0"/>
    <n v="2"/>
    <n v="30.62"/>
    <x v="9"/>
    <n v="61.24"/>
    <d v="2024-08-29T20:34:59"/>
    <x v="4"/>
    <s v="9d786847-3df0-438b-a16f-887fdeb7f2b9"/>
  </r>
  <r>
    <s v="ORD201453"/>
    <x v="4"/>
    <x v="0"/>
    <n v="4"/>
    <n v="56.23"/>
    <x v="4"/>
    <n v="224.92"/>
    <d v="2024-11-20T20:34:59"/>
    <x v="2"/>
    <s v="91fc9559-a9cc-46ab-810c-2cf5adaaeebc"/>
  </r>
  <r>
    <s v="ORD201454"/>
    <x v="9"/>
    <x v="2"/>
    <n v="2"/>
    <n v="19.2"/>
    <x v="3"/>
    <n v="38.4"/>
    <d v="2024-07-11T20:34:59"/>
    <x v="0"/>
    <s v="dfd34f9b-57cc-4677-b824-da79c85a6fbf"/>
  </r>
  <r>
    <s v="ORD201455"/>
    <x v="5"/>
    <x v="2"/>
    <n v="3"/>
    <n v="49.99"/>
    <x v="9"/>
    <n v="149.97"/>
    <d v="2024-08-21T20:34:59"/>
    <x v="4"/>
    <s v="ca84bb1e-aa3b-4e17-8689-61b724c5e4a5"/>
  </r>
  <r>
    <s v="ORD201456"/>
    <x v="4"/>
    <x v="0"/>
    <n v="5"/>
    <n v="37.97"/>
    <x v="5"/>
    <n v="189.85"/>
    <d v="2025-02-14T20:34:59"/>
    <x v="2"/>
    <s v="8965ed2f-4f06-4577-9fe5-3d1f387f8421"/>
  </r>
  <r>
    <s v="ORD201457"/>
    <x v="3"/>
    <x v="2"/>
    <n v="1"/>
    <n v="18.95"/>
    <x v="11"/>
    <n v="18.95"/>
    <d v="2024-12-01T20:34:59"/>
    <x v="3"/>
    <s v="adb0f659-b026-44e6-b1f2-48ada7c3e753"/>
  </r>
  <r>
    <s v="ORD201458"/>
    <x v="9"/>
    <x v="2"/>
    <n v="4"/>
    <n v="42.87"/>
    <x v="4"/>
    <n v="171.48"/>
    <d v="2024-11-07T20:34:59"/>
    <x v="1"/>
    <s v="ca924156-c13c-44b4-b7c9-3eced24393b2"/>
  </r>
  <r>
    <s v="ORD201459"/>
    <x v="8"/>
    <x v="0"/>
    <n v="4"/>
    <n v="18.25"/>
    <x v="10"/>
    <n v="73"/>
    <d v="2024-04-22T20:34:59"/>
    <x v="3"/>
    <s v="8c894471-fc83-42af-acdf-8b0fca523618"/>
  </r>
  <r>
    <s v="ORD201460"/>
    <x v="11"/>
    <x v="1"/>
    <n v="4"/>
    <n v="14.02"/>
    <x v="7"/>
    <n v="56.08"/>
    <d v="2024-10-27T20:34:59"/>
    <x v="3"/>
    <s v="0816bca8-6959-4a2b-b964-7e165b2b00ed"/>
  </r>
  <r>
    <s v="ORD201461"/>
    <x v="7"/>
    <x v="1"/>
    <n v="2"/>
    <n v="37.909999999999997"/>
    <x v="11"/>
    <n v="75.819999999999993"/>
    <d v="2024-12-12T20:34:59"/>
    <x v="1"/>
    <s v="fa4b5865-005c-4e41-958b-d9eebae96d8c"/>
  </r>
  <r>
    <s v="ORD201462"/>
    <x v="11"/>
    <x v="1"/>
    <n v="2"/>
    <n v="20.56"/>
    <x v="11"/>
    <n v="41.12"/>
    <d v="2024-12-10T20:34:59"/>
    <x v="4"/>
    <s v="4f825ed3-2a94-4eb2-b637-9365926957df"/>
  </r>
  <r>
    <s v="ORD201463"/>
    <x v="0"/>
    <x v="0"/>
    <n v="2"/>
    <n v="27.97"/>
    <x v="10"/>
    <n v="55.94"/>
    <d v="2024-04-06T20:34:59"/>
    <x v="2"/>
    <s v="0e8b82ee-9dcd-4d4f-afe6-234a86c71500"/>
  </r>
  <r>
    <s v="ORD201464"/>
    <x v="0"/>
    <x v="0"/>
    <n v="2"/>
    <n v="29"/>
    <x v="11"/>
    <n v="58"/>
    <d v="2024-12-27T20:34:59"/>
    <x v="0"/>
    <s v="efbe7362-6df0-4ae4-8764-9a97b5f6dab0"/>
  </r>
  <r>
    <s v="ORD201465"/>
    <x v="7"/>
    <x v="1"/>
    <n v="4"/>
    <n v="31.85"/>
    <x v="5"/>
    <n v="127.4"/>
    <d v="2025-02-11T20:34:59"/>
    <x v="3"/>
    <s v="6aac7041-3dcc-42e4-b9bd-c8f8063bdd5a"/>
  </r>
  <r>
    <s v="ORD201466"/>
    <x v="11"/>
    <x v="1"/>
    <n v="5"/>
    <n v="50.29"/>
    <x v="5"/>
    <n v="251.45"/>
    <d v="2025-02-24T20:34:59"/>
    <x v="1"/>
    <s v="5f179d1d-0818-4e87-84d3-c54f7a41f872"/>
  </r>
  <r>
    <s v="ORD201467"/>
    <x v="3"/>
    <x v="2"/>
    <n v="4"/>
    <n v="24"/>
    <x v="3"/>
    <n v="96"/>
    <d v="2024-07-09T20:34:59"/>
    <x v="4"/>
    <s v="ee6f3bb1-3eff-4c0c-b31c-835b514cb440"/>
  </r>
  <r>
    <s v="ORD201468"/>
    <x v="11"/>
    <x v="1"/>
    <n v="4"/>
    <n v="18.88"/>
    <x v="8"/>
    <n v="75.52"/>
    <d v="2024-06-22T20:34:59"/>
    <x v="2"/>
    <s v="b111443f-719e-4f02-bb5b-ecf6dbbba622"/>
  </r>
  <r>
    <s v="ORD201469"/>
    <x v="0"/>
    <x v="0"/>
    <n v="2"/>
    <n v="12.05"/>
    <x v="11"/>
    <n v="24.1"/>
    <d v="2024-12-04T20:34:59"/>
    <x v="2"/>
    <s v="0c261480-8448-4380-8de4-5f8c66ea6f4d"/>
  </r>
  <r>
    <s v="ORD201470"/>
    <x v="7"/>
    <x v="1"/>
    <n v="3"/>
    <n v="31.5"/>
    <x v="2"/>
    <n v="94.5"/>
    <d v="2025-01-04T20:34:59"/>
    <x v="2"/>
    <s v="e8aaad60-51bb-49c2-9b58-7b19bee07e3a"/>
  </r>
  <r>
    <s v="ORD201471"/>
    <x v="11"/>
    <x v="1"/>
    <n v="1"/>
    <n v="19.29"/>
    <x v="9"/>
    <n v="19.29"/>
    <d v="2024-08-07T20:34:59"/>
    <x v="4"/>
    <s v="34980721-07b1-4649-a335-748232540a40"/>
  </r>
  <r>
    <s v="ORD201472"/>
    <x v="9"/>
    <x v="2"/>
    <n v="5"/>
    <n v="31.69"/>
    <x v="1"/>
    <n v="158.45000000000002"/>
    <d v="2024-05-27T20:34:59"/>
    <x v="0"/>
    <s v="86eff68c-cc21-4693-9dc7-a3e1bb82a344"/>
  </r>
  <r>
    <s v="ORD201473"/>
    <x v="9"/>
    <x v="2"/>
    <n v="2"/>
    <n v="58.17"/>
    <x v="8"/>
    <n v="116.34"/>
    <d v="2024-06-05T20:34:59"/>
    <x v="1"/>
    <s v="98e17b0c-165f-4a2f-8b5f-787c0a8fa05c"/>
  </r>
  <r>
    <s v="ORD201474"/>
    <x v="3"/>
    <x v="2"/>
    <n v="2"/>
    <n v="30.2"/>
    <x v="0"/>
    <n v="60.4"/>
    <d v="2024-09-08T20:34:59"/>
    <x v="0"/>
    <s v="1d2c4597-ee3c-4d57-80f9-d20b0784efc4"/>
  </r>
  <r>
    <s v="ORD201475"/>
    <x v="6"/>
    <x v="1"/>
    <n v="4"/>
    <n v="31.11"/>
    <x v="11"/>
    <n v="124.44"/>
    <d v="2024-12-31T20:34:59"/>
    <x v="1"/>
    <s v="89aecead-7980-4539-887a-6221e5d1d997"/>
  </r>
  <r>
    <s v="ORD201476"/>
    <x v="9"/>
    <x v="2"/>
    <n v="3"/>
    <n v="35.880000000000003"/>
    <x v="6"/>
    <n v="107.64000000000001"/>
    <d v="2025-03-08T20:34:59"/>
    <x v="0"/>
    <s v="4b5cfaaf-2425-4ccc-af5d-efc4d5131c1a"/>
  </r>
  <r>
    <s v="ORD201477"/>
    <x v="4"/>
    <x v="0"/>
    <n v="2"/>
    <n v="15.59"/>
    <x v="2"/>
    <n v="31.18"/>
    <d v="2025-01-26T20:34:59"/>
    <x v="2"/>
    <s v="9c768e27-359d-4565-ae08-83810fdfefa8"/>
  </r>
  <r>
    <s v="ORD201478"/>
    <x v="0"/>
    <x v="0"/>
    <n v="1"/>
    <n v="56.86"/>
    <x v="5"/>
    <n v="56.86"/>
    <d v="2025-02-06T20:34:59"/>
    <x v="1"/>
    <s v="ccfa4f6e-7893-48b4-8f3e-32fc4919cec7"/>
  </r>
  <r>
    <s v="ORD201479"/>
    <x v="5"/>
    <x v="2"/>
    <n v="5"/>
    <n v="31.09"/>
    <x v="4"/>
    <n v="155.44999999999999"/>
    <d v="2024-11-02T20:34:59"/>
    <x v="0"/>
    <s v="f132d209-5449-4291-b520-f93864f2d542"/>
  </r>
  <r>
    <s v="ORD201480"/>
    <x v="5"/>
    <x v="2"/>
    <n v="2"/>
    <n v="37.42"/>
    <x v="7"/>
    <n v="74.84"/>
    <d v="2024-10-07T20:34:59"/>
    <x v="4"/>
    <s v="fd5c5ab0-ca4e-49ae-a617-508abf2fcea4"/>
  </r>
  <r>
    <s v="ORD201481"/>
    <x v="3"/>
    <x v="2"/>
    <n v="5"/>
    <n v="47.44"/>
    <x v="10"/>
    <n v="237.2"/>
    <d v="2024-04-20T20:34:59"/>
    <x v="3"/>
    <s v="46f8c981-92bd-4c71-b3bd-be215f74c4a5"/>
  </r>
  <r>
    <s v="ORD201482"/>
    <x v="5"/>
    <x v="2"/>
    <n v="3"/>
    <n v="23.84"/>
    <x v="0"/>
    <n v="71.52"/>
    <d v="2024-09-22T20:34:59"/>
    <x v="2"/>
    <s v="02955b83-57ec-4117-be91-85c5e26384b3"/>
  </r>
  <r>
    <s v="ORD201483"/>
    <x v="10"/>
    <x v="0"/>
    <n v="5"/>
    <n v="23.07"/>
    <x v="4"/>
    <n v="115.35"/>
    <d v="2024-11-08T20:34:59"/>
    <x v="3"/>
    <s v="0af5bb0d-5caf-4ef9-a263-2e63f5879334"/>
  </r>
  <r>
    <s v="ORD201484"/>
    <x v="5"/>
    <x v="2"/>
    <n v="5"/>
    <n v="22.28"/>
    <x v="6"/>
    <n v="111.4"/>
    <d v="2025-03-02T20:34:59"/>
    <x v="3"/>
    <s v="363b848c-8afb-4253-a8c8-711dd62ef812"/>
  </r>
  <r>
    <s v="ORD201485"/>
    <x v="11"/>
    <x v="1"/>
    <n v="3"/>
    <n v="13.46"/>
    <x v="9"/>
    <n v="40.380000000000003"/>
    <d v="2024-08-15T20:34:59"/>
    <x v="4"/>
    <s v="ca71fa41-d332-4e9a-a7a0-69fe29f38e95"/>
  </r>
  <r>
    <s v="ORD201486"/>
    <x v="8"/>
    <x v="0"/>
    <n v="4"/>
    <n v="46.69"/>
    <x v="5"/>
    <n v="186.76"/>
    <d v="2025-02-19T20:34:59"/>
    <x v="1"/>
    <s v="7e5b2e87-3ece-4218-a616-7df35329fe1a"/>
  </r>
  <r>
    <s v="ORD201487"/>
    <x v="6"/>
    <x v="1"/>
    <n v="4"/>
    <n v="49.01"/>
    <x v="7"/>
    <n v="196.04"/>
    <d v="2024-10-13T20:34:59"/>
    <x v="0"/>
    <s v="b708ab38-e643-408c-919f-e70c4c47ac99"/>
  </r>
  <r>
    <s v="ORD201488"/>
    <x v="10"/>
    <x v="0"/>
    <n v="3"/>
    <n v="10.44"/>
    <x v="0"/>
    <n v="31.32"/>
    <d v="2024-09-13T20:34:59"/>
    <x v="0"/>
    <s v="03e159d7-4b4f-4a9f-ac30-e5271b00b942"/>
  </r>
  <r>
    <s v="ORD201489"/>
    <x v="10"/>
    <x v="0"/>
    <n v="1"/>
    <n v="25.17"/>
    <x v="10"/>
    <n v="25.17"/>
    <d v="2024-04-19T20:34:59"/>
    <x v="0"/>
    <s v="253c182d-875f-4d9c-b488-157bb0e7e8e9"/>
  </r>
  <r>
    <s v="ORD201490"/>
    <x v="1"/>
    <x v="1"/>
    <n v="5"/>
    <n v="15.28"/>
    <x v="9"/>
    <n v="76.399999999999991"/>
    <d v="2024-08-20T20:34:59"/>
    <x v="3"/>
    <s v="fd050f7b-4497-4e1f-8750-ac6ac4c921a7"/>
  </r>
  <r>
    <s v="ORD201491"/>
    <x v="6"/>
    <x v="1"/>
    <n v="2"/>
    <n v="33.520000000000003"/>
    <x v="11"/>
    <n v="67.040000000000006"/>
    <d v="2024-12-01T20:34:59"/>
    <x v="2"/>
    <s v="37b9ed62-f5e3-4c74-a694-b03df346d767"/>
  </r>
  <r>
    <s v="ORD201492"/>
    <x v="4"/>
    <x v="0"/>
    <n v="1"/>
    <n v="55.75"/>
    <x v="10"/>
    <n v="55.75"/>
    <d v="2024-04-28T20:34:59"/>
    <x v="4"/>
    <s v="fcb7308f-6d3b-4284-8159-ba814b994142"/>
  </r>
  <r>
    <s v="ORD201493"/>
    <x v="4"/>
    <x v="0"/>
    <n v="3"/>
    <n v="35.700000000000003"/>
    <x v="10"/>
    <n v="107.10000000000001"/>
    <d v="2024-04-11T20:34:59"/>
    <x v="0"/>
    <s v="88fc578a-b5c1-4514-853b-182bd73aeadb"/>
  </r>
  <r>
    <s v="ORD201494"/>
    <x v="4"/>
    <x v="0"/>
    <n v="3"/>
    <n v="31.2"/>
    <x v="6"/>
    <n v="93.6"/>
    <d v="2025-03-04T20:34:59"/>
    <x v="1"/>
    <s v="9772bb48-cd6c-4396-88eb-ad181a07b038"/>
  </r>
  <r>
    <s v="ORD201495"/>
    <x v="1"/>
    <x v="1"/>
    <n v="1"/>
    <n v="26.19"/>
    <x v="0"/>
    <n v="26.19"/>
    <d v="2024-09-04T20:34:59"/>
    <x v="0"/>
    <s v="1d72cce6-a6e6-481b-a9ac-37c3b4b07627"/>
  </r>
  <r>
    <s v="ORD201496"/>
    <x v="9"/>
    <x v="2"/>
    <n v="2"/>
    <n v="12.3"/>
    <x v="3"/>
    <n v="24.6"/>
    <d v="2024-07-18T20:34:59"/>
    <x v="3"/>
    <s v="6578eef7-77c2-4542-9a8e-01fcb5e38e15"/>
  </r>
  <r>
    <s v="ORD201497"/>
    <x v="7"/>
    <x v="1"/>
    <n v="4"/>
    <n v="24.82"/>
    <x v="11"/>
    <n v="99.28"/>
    <d v="2024-12-05T20:34:59"/>
    <x v="4"/>
    <s v="71b0561f-b050-40db-b729-ec6928ce9c43"/>
  </r>
  <r>
    <s v="ORD201498"/>
    <x v="6"/>
    <x v="1"/>
    <n v="1"/>
    <n v="14.02"/>
    <x v="2"/>
    <n v="14.02"/>
    <d v="2025-01-07T20:34:59"/>
    <x v="1"/>
    <s v="2affd30f-257a-4281-9cdd-f799cbb0745b"/>
  </r>
  <r>
    <s v="ORD201499"/>
    <x v="6"/>
    <x v="1"/>
    <n v="5"/>
    <n v="12.27"/>
    <x v="5"/>
    <n v="61.349999999999994"/>
    <d v="2025-02-26T20:34:59"/>
    <x v="4"/>
    <s v="41bb1fbd-4238-456c-8d1c-2682733f72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729482-86BA-42EF-BEA6-EB0A7444E2D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7" firstHeaderRow="1" firstDataRow="1" firstDataCol="1"/>
  <pivotFields count="10">
    <pivotField showAll="0"/>
    <pivotField showAll="0"/>
    <pivotField showAll="0"/>
    <pivotField showAll="0"/>
    <pivotField showAll="0"/>
    <pivotField axis="axisRow" showAll="0" sortType="ascending">
      <items count="14">
        <item x="10"/>
        <item x="1"/>
        <item x="8"/>
        <item x="3"/>
        <item x="9"/>
        <item x="0"/>
        <item x="7"/>
        <item x="4"/>
        <item x="11"/>
        <item x="2"/>
        <item x="5"/>
        <item x="6"/>
        <item x="12"/>
        <item t="default"/>
      </items>
    </pivotField>
    <pivotField dataField="1" showAll="0"/>
    <pivotField numFmtId="164" showAll="0"/>
    <pivotField showAll="0"/>
    <pivotField showAll="0"/>
  </pivotFields>
  <rowFields count="1">
    <field x="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61C519-F854-42FC-9CC3-18C99B2E5DA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10">
    <pivotField showAll="0"/>
    <pivotField axis="axisRow" showAll="0" sortType="descending">
      <items count="13">
        <item x="8"/>
        <item x="11"/>
        <item x="4"/>
        <item x="3"/>
        <item x="1"/>
        <item x="0"/>
        <item x="9"/>
        <item x="2"/>
        <item x="5"/>
        <item x="10"/>
        <item x="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numFmtId="164" showAll="0"/>
    <pivotField showAll="0"/>
    <pivotField showAll="0"/>
  </pivotFields>
  <rowFields count="1">
    <field x="1"/>
  </rowFields>
  <rowItems count="13">
    <i>
      <x v="3"/>
    </i>
    <i>
      <x v="6"/>
    </i>
    <i>
      <x v="8"/>
    </i>
    <i>
      <x v="11"/>
    </i>
    <i>
      <x v="9"/>
    </i>
    <i>
      <x v="5"/>
    </i>
    <i>
      <x/>
    </i>
    <i>
      <x v="4"/>
    </i>
    <i>
      <x v="10"/>
    </i>
    <i>
      <x v="2"/>
    </i>
    <i>
      <x v="1"/>
    </i>
    <i>
      <x v="7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6F752C-252B-4759-ABDA-F759D3987D4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0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dataField="1" showAll="0"/>
    <pivotField numFmtId="164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6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535149-62E9-4903-A0B8-8E017C12CC3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dataField="1" showAll="0"/>
    <pivotField numFmtId="164" showAll="0"/>
    <pivotField axis="axisRow" showAll="0" sortType="descending">
      <items count="6">
        <item x="2"/>
        <item x="4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8"/>
  </rowFields>
  <rowItems count="6">
    <i>
      <x/>
    </i>
    <i>
      <x v="1"/>
    </i>
    <i>
      <x v="4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67EE4-9263-4104-99EC-0CE921D446A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4" firstHeaderRow="1" firstDataRow="1" firstDataCol="1"/>
  <pivotFields count="10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dataField="1" showAll="0"/>
    <pivotField numFmtId="164" showAll="0"/>
    <pivotField axis="axisRow" showAll="0">
      <items count="6">
        <item x="2"/>
        <item x="4"/>
        <item x="0"/>
        <item x="1"/>
        <item x="3"/>
        <item t="default"/>
      </items>
    </pivotField>
    <pivotField showAll="0"/>
  </pivotFields>
  <rowFields count="2">
    <field x="8"/>
    <field x="2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01"/>
  <sheetViews>
    <sheetView workbookViewId="0"/>
  </sheetViews>
  <sheetFormatPr defaultRowHeight="14.4" x14ac:dyDescent="0.3"/>
  <cols>
    <col min="1" max="1" width="10.88671875" bestFit="1" customWidth="1"/>
    <col min="2" max="2" width="18.5546875" bestFit="1" customWidth="1"/>
    <col min="3" max="3" width="8.88671875" bestFit="1" customWidth="1"/>
    <col min="8" max="8" width="18.33203125" bestFit="1" customWidth="1"/>
    <col min="9" max="9" width="11.6640625" bestFit="1" customWidth="1"/>
    <col min="10" max="10" width="38.88671875" bestFit="1" customWidth="1"/>
  </cols>
  <sheetData>
    <row r="1" spans="1:10" x14ac:dyDescent="0.3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  <row r="2" spans="1:10" x14ac:dyDescent="0.3">
      <c r="A2" t="s">
        <v>46</v>
      </c>
      <c r="B2" t="s">
        <v>21</v>
      </c>
      <c r="C2" t="s">
        <v>30</v>
      </c>
      <c r="D2">
        <v>4</v>
      </c>
      <c r="E2">
        <v>27.79</v>
      </c>
      <c r="F2" t="str">
        <f>TEXT(H2, "yyyy-mm")</f>
        <v>2024-09</v>
      </c>
      <c r="G2">
        <f>D2*E2</f>
        <v>111.16</v>
      </c>
      <c r="H2" s="2">
        <v>45563.857630524908</v>
      </c>
      <c r="I2" t="s">
        <v>34</v>
      </c>
      <c r="J2" t="s">
        <v>47</v>
      </c>
    </row>
    <row r="3" spans="1:10" x14ac:dyDescent="0.3">
      <c r="A3" t="s">
        <v>48</v>
      </c>
      <c r="B3" t="s">
        <v>23</v>
      </c>
      <c r="C3" t="s">
        <v>28</v>
      </c>
      <c r="D3">
        <v>3</v>
      </c>
      <c r="E3">
        <v>10.6</v>
      </c>
      <c r="F3" t="str">
        <f t="shared" ref="F3:F66" si="0">TEXT(H3, "yyyy-mm")</f>
        <v>2024-05</v>
      </c>
      <c r="G3">
        <f t="shared" ref="G3:G66" si="1">D3*E3</f>
        <v>31.799999999999997</v>
      </c>
      <c r="H3" s="2">
        <v>45436.857630524908</v>
      </c>
      <c r="I3" t="s">
        <v>35</v>
      </c>
      <c r="J3" t="s">
        <v>49</v>
      </c>
    </row>
    <row r="4" spans="1:10" x14ac:dyDescent="0.3">
      <c r="A4" t="s">
        <v>50</v>
      </c>
      <c r="B4" t="s">
        <v>27</v>
      </c>
      <c r="C4" t="s">
        <v>28</v>
      </c>
      <c r="D4">
        <v>4</v>
      </c>
      <c r="E4">
        <v>11.32</v>
      </c>
      <c r="F4" t="str">
        <f t="shared" si="0"/>
        <v>2025-01</v>
      </c>
      <c r="G4">
        <f t="shared" si="1"/>
        <v>45.28</v>
      </c>
      <c r="H4" s="2">
        <v>45678.857630524908</v>
      </c>
      <c r="I4" t="s">
        <v>35</v>
      </c>
      <c r="J4" t="s">
        <v>51</v>
      </c>
    </row>
    <row r="5" spans="1:10" x14ac:dyDescent="0.3">
      <c r="A5" t="s">
        <v>52</v>
      </c>
      <c r="B5" t="s">
        <v>16</v>
      </c>
      <c r="C5" t="s">
        <v>29</v>
      </c>
      <c r="D5">
        <v>1</v>
      </c>
      <c r="E5">
        <v>34.31</v>
      </c>
      <c r="F5" t="str">
        <f t="shared" si="0"/>
        <v>2024-07</v>
      </c>
      <c r="G5">
        <f t="shared" si="1"/>
        <v>34.31</v>
      </c>
      <c r="H5" s="2">
        <v>45496.857630524908</v>
      </c>
      <c r="I5" t="s">
        <v>34</v>
      </c>
      <c r="J5" t="s">
        <v>53</v>
      </c>
    </row>
    <row r="6" spans="1:10" x14ac:dyDescent="0.3">
      <c r="A6" t="s">
        <v>54</v>
      </c>
      <c r="B6" t="s">
        <v>25</v>
      </c>
      <c r="C6" t="s">
        <v>30</v>
      </c>
      <c r="D6">
        <v>2</v>
      </c>
      <c r="E6">
        <v>10.09</v>
      </c>
      <c r="F6" t="str">
        <f t="shared" si="0"/>
        <v>2024-11</v>
      </c>
      <c r="G6">
        <f t="shared" si="1"/>
        <v>20.18</v>
      </c>
      <c r="H6" s="2">
        <v>45624.857630524908</v>
      </c>
      <c r="I6" t="s">
        <v>31</v>
      </c>
      <c r="J6" t="s">
        <v>55</v>
      </c>
    </row>
    <row r="7" spans="1:10" x14ac:dyDescent="0.3">
      <c r="A7" t="s">
        <v>56</v>
      </c>
      <c r="B7" t="s">
        <v>16</v>
      </c>
      <c r="C7" t="s">
        <v>29</v>
      </c>
      <c r="D7">
        <v>3</v>
      </c>
      <c r="E7">
        <v>14.3</v>
      </c>
      <c r="F7" t="str">
        <f t="shared" si="0"/>
        <v>2024-05</v>
      </c>
      <c r="G7">
        <f t="shared" si="1"/>
        <v>42.900000000000006</v>
      </c>
      <c r="H7" s="2">
        <v>45438.857630524908</v>
      </c>
      <c r="I7" t="s">
        <v>35</v>
      </c>
      <c r="J7" t="s">
        <v>57</v>
      </c>
    </row>
    <row r="8" spans="1:10" x14ac:dyDescent="0.3">
      <c r="A8" t="s">
        <v>58</v>
      </c>
      <c r="B8" t="s">
        <v>18</v>
      </c>
      <c r="C8" t="s">
        <v>29</v>
      </c>
      <c r="D8">
        <v>1</v>
      </c>
      <c r="E8">
        <v>59.97</v>
      </c>
      <c r="F8" t="str">
        <f t="shared" si="0"/>
        <v>2025-02</v>
      </c>
      <c r="G8">
        <f t="shared" si="1"/>
        <v>59.97</v>
      </c>
      <c r="H8" s="2">
        <v>45700.857630524908</v>
      </c>
      <c r="I8" t="s">
        <v>34</v>
      </c>
      <c r="J8" t="s">
        <v>59</v>
      </c>
    </row>
    <row r="9" spans="1:10" x14ac:dyDescent="0.3">
      <c r="A9" t="s">
        <v>60</v>
      </c>
      <c r="B9" t="s">
        <v>21</v>
      </c>
      <c r="C9" t="s">
        <v>30</v>
      </c>
      <c r="D9">
        <v>4</v>
      </c>
      <c r="E9">
        <v>29.78</v>
      </c>
      <c r="F9" t="str">
        <f t="shared" si="0"/>
        <v>2025-02</v>
      </c>
      <c r="G9">
        <f t="shared" si="1"/>
        <v>119.12</v>
      </c>
      <c r="H9" s="2">
        <v>45697.857630524908</v>
      </c>
      <c r="I9" t="s">
        <v>33</v>
      </c>
      <c r="J9" t="s">
        <v>61</v>
      </c>
    </row>
    <row r="10" spans="1:10" x14ac:dyDescent="0.3">
      <c r="A10" t="s">
        <v>62</v>
      </c>
      <c r="B10" t="s">
        <v>19</v>
      </c>
      <c r="C10" t="s">
        <v>28</v>
      </c>
      <c r="D10">
        <v>5</v>
      </c>
      <c r="E10">
        <v>57.15</v>
      </c>
      <c r="F10" t="str">
        <f t="shared" si="0"/>
        <v>2025-03</v>
      </c>
      <c r="G10">
        <f t="shared" si="1"/>
        <v>285.75</v>
      </c>
      <c r="H10" s="2">
        <v>45722.857630524908</v>
      </c>
      <c r="I10" t="s">
        <v>32</v>
      </c>
      <c r="J10" t="s">
        <v>63</v>
      </c>
    </row>
    <row r="11" spans="1:10" x14ac:dyDescent="0.3">
      <c r="A11" t="s">
        <v>64</v>
      </c>
      <c r="B11" t="s">
        <v>21</v>
      </c>
      <c r="C11" t="s">
        <v>30</v>
      </c>
      <c r="D11">
        <v>4</v>
      </c>
      <c r="E11">
        <v>16.920000000000002</v>
      </c>
      <c r="F11" t="str">
        <f t="shared" si="0"/>
        <v>2024-10</v>
      </c>
      <c r="G11">
        <f t="shared" si="1"/>
        <v>67.680000000000007</v>
      </c>
      <c r="H11" s="2">
        <v>45575.857630524908</v>
      </c>
      <c r="I11" t="s">
        <v>33</v>
      </c>
      <c r="J11" t="s">
        <v>65</v>
      </c>
    </row>
    <row r="12" spans="1:10" x14ac:dyDescent="0.3">
      <c r="A12" t="s">
        <v>66</v>
      </c>
      <c r="B12" t="s">
        <v>24</v>
      </c>
      <c r="C12" t="s">
        <v>28</v>
      </c>
      <c r="D12">
        <v>2</v>
      </c>
      <c r="E12">
        <v>49.92</v>
      </c>
      <c r="F12" t="str">
        <f t="shared" si="0"/>
        <v>2024-10</v>
      </c>
      <c r="G12">
        <f t="shared" si="1"/>
        <v>99.84</v>
      </c>
      <c r="H12" s="2">
        <v>45593.857630524908</v>
      </c>
      <c r="I12" t="s">
        <v>34</v>
      </c>
      <c r="J12" t="s">
        <v>67</v>
      </c>
    </row>
    <row r="13" spans="1:10" x14ac:dyDescent="0.3">
      <c r="A13" t="s">
        <v>68</v>
      </c>
      <c r="B13" t="s">
        <v>22</v>
      </c>
      <c r="C13" t="s">
        <v>30</v>
      </c>
      <c r="D13">
        <v>5</v>
      </c>
      <c r="E13">
        <v>23.16</v>
      </c>
      <c r="F13" t="str">
        <f t="shared" si="0"/>
        <v>2024-05</v>
      </c>
      <c r="G13">
        <f t="shared" si="1"/>
        <v>115.8</v>
      </c>
      <c r="H13" s="2">
        <v>45431.857630524908</v>
      </c>
      <c r="I13" t="s">
        <v>32</v>
      </c>
      <c r="J13" t="s">
        <v>69</v>
      </c>
    </row>
    <row r="14" spans="1:10" x14ac:dyDescent="0.3">
      <c r="A14" t="s">
        <v>70</v>
      </c>
      <c r="B14" t="s">
        <v>27</v>
      </c>
      <c r="C14" t="s">
        <v>28</v>
      </c>
      <c r="D14">
        <v>2</v>
      </c>
      <c r="E14">
        <v>56.76</v>
      </c>
      <c r="F14" t="str">
        <f t="shared" si="0"/>
        <v>2024-11</v>
      </c>
      <c r="G14">
        <f t="shared" si="1"/>
        <v>113.52</v>
      </c>
      <c r="H14" s="2">
        <v>45599.857630524908</v>
      </c>
      <c r="I14" t="s">
        <v>34</v>
      </c>
      <c r="J14" t="s">
        <v>71</v>
      </c>
    </row>
    <row r="15" spans="1:10" x14ac:dyDescent="0.3">
      <c r="A15" t="s">
        <v>72</v>
      </c>
      <c r="B15" t="s">
        <v>23</v>
      </c>
      <c r="C15" t="s">
        <v>28</v>
      </c>
      <c r="D15">
        <v>5</v>
      </c>
      <c r="E15">
        <v>40.549999999999997</v>
      </c>
      <c r="F15" t="str">
        <f t="shared" si="0"/>
        <v>2024-06</v>
      </c>
      <c r="G15">
        <f t="shared" si="1"/>
        <v>202.75</v>
      </c>
      <c r="H15" s="2">
        <v>45453.857630524908</v>
      </c>
      <c r="I15" t="s">
        <v>31</v>
      </c>
      <c r="J15" t="s">
        <v>73</v>
      </c>
    </row>
    <row r="16" spans="1:10" x14ac:dyDescent="0.3">
      <c r="A16" t="s">
        <v>74</v>
      </c>
      <c r="B16" t="s">
        <v>22</v>
      </c>
      <c r="C16" t="s">
        <v>30</v>
      </c>
      <c r="D16">
        <v>3</v>
      </c>
      <c r="E16">
        <v>49.83</v>
      </c>
      <c r="F16" t="str">
        <f t="shared" si="0"/>
        <v>2024-08</v>
      </c>
      <c r="G16">
        <f t="shared" si="1"/>
        <v>149.49</v>
      </c>
      <c r="H16" s="2">
        <v>45513.857630524908</v>
      </c>
      <c r="I16" t="s">
        <v>34</v>
      </c>
      <c r="J16" t="s">
        <v>75</v>
      </c>
    </row>
    <row r="17" spans="1:10" x14ac:dyDescent="0.3">
      <c r="A17" t="s">
        <v>76</v>
      </c>
      <c r="B17" t="s">
        <v>16</v>
      </c>
      <c r="C17" t="s">
        <v>29</v>
      </c>
      <c r="D17">
        <v>2</v>
      </c>
      <c r="E17">
        <v>28.18</v>
      </c>
      <c r="F17" t="str">
        <f t="shared" si="0"/>
        <v>2024-10</v>
      </c>
      <c r="G17">
        <f t="shared" si="1"/>
        <v>56.36</v>
      </c>
      <c r="H17" s="2">
        <v>45578.857630524908</v>
      </c>
      <c r="I17" t="s">
        <v>35</v>
      </c>
      <c r="J17" t="s">
        <v>77</v>
      </c>
    </row>
    <row r="18" spans="1:10" x14ac:dyDescent="0.3">
      <c r="A18" t="s">
        <v>78</v>
      </c>
      <c r="B18" t="s">
        <v>27</v>
      </c>
      <c r="C18" t="s">
        <v>28</v>
      </c>
      <c r="D18">
        <v>2</v>
      </c>
      <c r="E18">
        <v>55.47</v>
      </c>
      <c r="F18" t="str">
        <f t="shared" si="0"/>
        <v>2024-08</v>
      </c>
      <c r="G18">
        <f t="shared" si="1"/>
        <v>110.94</v>
      </c>
      <c r="H18" s="2">
        <v>45535.857630524908</v>
      </c>
      <c r="I18" t="s">
        <v>33</v>
      </c>
      <c r="J18" t="s">
        <v>79</v>
      </c>
    </row>
    <row r="19" spans="1:10" x14ac:dyDescent="0.3">
      <c r="A19" t="s">
        <v>80</v>
      </c>
      <c r="B19" t="s">
        <v>27</v>
      </c>
      <c r="C19" t="s">
        <v>28</v>
      </c>
      <c r="D19">
        <v>4</v>
      </c>
      <c r="E19">
        <v>38.14</v>
      </c>
      <c r="F19" t="str">
        <f t="shared" si="0"/>
        <v>2024-05</v>
      </c>
      <c r="G19">
        <f t="shared" si="1"/>
        <v>152.56</v>
      </c>
      <c r="H19" s="2">
        <v>45430.857630524908</v>
      </c>
      <c r="I19" t="s">
        <v>35</v>
      </c>
      <c r="J19" t="s">
        <v>81</v>
      </c>
    </row>
    <row r="20" spans="1:10" x14ac:dyDescent="0.3">
      <c r="A20" t="s">
        <v>82</v>
      </c>
      <c r="B20" t="s">
        <v>23</v>
      </c>
      <c r="C20" t="s">
        <v>28</v>
      </c>
      <c r="D20">
        <v>1</v>
      </c>
      <c r="E20">
        <v>33.46</v>
      </c>
      <c r="F20" t="str">
        <f t="shared" si="0"/>
        <v>2024-04</v>
      </c>
      <c r="G20">
        <f t="shared" si="1"/>
        <v>33.46</v>
      </c>
      <c r="H20" s="2">
        <v>45404.857630524908</v>
      </c>
      <c r="I20" t="s">
        <v>35</v>
      </c>
      <c r="J20" t="s">
        <v>83</v>
      </c>
    </row>
    <row r="21" spans="1:10" x14ac:dyDescent="0.3">
      <c r="A21" t="s">
        <v>84</v>
      </c>
      <c r="B21" t="s">
        <v>22</v>
      </c>
      <c r="C21" t="s">
        <v>30</v>
      </c>
      <c r="D21">
        <v>2</v>
      </c>
      <c r="E21">
        <v>12.22</v>
      </c>
      <c r="F21" t="str">
        <f t="shared" si="0"/>
        <v>2025-01</v>
      </c>
      <c r="G21">
        <f t="shared" si="1"/>
        <v>24.44</v>
      </c>
      <c r="H21" s="2">
        <v>45658.857630524908</v>
      </c>
      <c r="I21" t="s">
        <v>32</v>
      </c>
      <c r="J21" t="s">
        <v>85</v>
      </c>
    </row>
    <row r="22" spans="1:10" x14ac:dyDescent="0.3">
      <c r="A22" t="s">
        <v>86</v>
      </c>
      <c r="B22" t="s">
        <v>22</v>
      </c>
      <c r="C22" t="s">
        <v>30</v>
      </c>
      <c r="D22">
        <v>3</v>
      </c>
      <c r="E22">
        <v>49.35</v>
      </c>
      <c r="F22" t="str">
        <f t="shared" si="0"/>
        <v>2024-08</v>
      </c>
      <c r="G22">
        <f t="shared" si="1"/>
        <v>148.05000000000001</v>
      </c>
      <c r="H22" s="2">
        <v>45518.857630524908</v>
      </c>
      <c r="I22" t="s">
        <v>31</v>
      </c>
      <c r="J22" t="s">
        <v>87</v>
      </c>
    </row>
    <row r="23" spans="1:10" x14ac:dyDescent="0.3">
      <c r="A23" t="s">
        <v>88</v>
      </c>
      <c r="B23" t="s">
        <v>25</v>
      </c>
      <c r="C23" t="s">
        <v>30</v>
      </c>
      <c r="D23">
        <v>3</v>
      </c>
      <c r="E23">
        <v>24.44</v>
      </c>
      <c r="F23" t="str">
        <f t="shared" si="0"/>
        <v>2024-11</v>
      </c>
      <c r="G23">
        <f t="shared" si="1"/>
        <v>73.320000000000007</v>
      </c>
      <c r="H23" s="2">
        <v>45599.857630524908</v>
      </c>
      <c r="I23" t="s">
        <v>32</v>
      </c>
      <c r="J23" t="s">
        <v>89</v>
      </c>
    </row>
    <row r="24" spans="1:10" x14ac:dyDescent="0.3">
      <c r="A24" t="s">
        <v>90</v>
      </c>
      <c r="B24" t="s">
        <v>19</v>
      </c>
      <c r="C24" t="s">
        <v>28</v>
      </c>
      <c r="D24">
        <v>5</v>
      </c>
      <c r="E24">
        <v>26.48</v>
      </c>
      <c r="F24" t="str">
        <f t="shared" si="0"/>
        <v>2024-10</v>
      </c>
      <c r="G24">
        <f t="shared" si="1"/>
        <v>132.4</v>
      </c>
      <c r="H24" s="2">
        <v>45586.857630524908</v>
      </c>
      <c r="I24" t="s">
        <v>34</v>
      </c>
      <c r="J24" t="s">
        <v>91</v>
      </c>
    </row>
    <row r="25" spans="1:10" x14ac:dyDescent="0.3">
      <c r="A25" t="s">
        <v>92</v>
      </c>
      <c r="B25" t="s">
        <v>23</v>
      </c>
      <c r="C25" t="s">
        <v>28</v>
      </c>
      <c r="D25">
        <v>4</v>
      </c>
      <c r="E25">
        <v>55.55</v>
      </c>
      <c r="F25" t="str">
        <f t="shared" si="0"/>
        <v>2024-12</v>
      </c>
      <c r="G25">
        <f t="shared" si="1"/>
        <v>222.2</v>
      </c>
      <c r="H25" s="2">
        <v>45647.857630524908</v>
      </c>
      <c r="I25" t="s">
        <v>31</v>
      </c>
      <c r="J25" t="s">
        <v>93</v>
      </c>
    </row>
    <row r="26" spans="1:10" x14ac:dyDescent="0.3">
      <c r="A26" t="s">
        <v>94</v>
      </c>
      <c r="B26" t="s">
        <v>17</v>
      </c>
      <c r="C26" t="s">
        <v>29</v>
      </c>
      <c r="D26">
        <v>2</v>
      </c>
      <c r="E26">
        <v>32.26</v>
      </c>
      <c r="F26" t="str">
        <f t="shared" si="0"/>
        <v>2024-04</v>
      </c>
      <c r="G26">
        <f t="shared" si="1"/>
        <v>64.52</v>
      </c>
      <c r="H26" s="2">
        <v>45393.857630524908</v>
      </c>
      <c r="I26" t="s">
        <v>32</v>
      </c>
      <c r="J26" t="s">
        <v>95</v>
      </c>
    </row>
    <row r="27" spans="1:10" x14ac:dyDescent="0.3">
      <c r="A27" t="s">
        <v>96</v>
      </c>
      <c r="B27" t="s">
        <v>21</v>
      </c>
      <c r="C27" t="s">
        <v>30</v>
      </c>
      <c r="D27">
        <v>1</v>
      </c>
      <c r="E27">
        <v>54.89</v>
      </c>
      <c r="F27" t="str">
        <f t="shared" si="0"/>
        <v>2024-09</v>
      </c>
      <c r="G27">
        <f t="shared" si="1"/>
        <v>54.89</v>
      </c>
      <c r="H27" s="2">
        <v>45560.857630524908</v>
      </c>
      <c r="I27" t="s">
        <v>32</v>
      </c>
      <c r="J27" t="s">
        <v>97</v>
      </c>
    </row>
    <row r="28" spans="1:10" x14ac:dyDescent="0.3">
      <c r="A28" t="s">
        <v>98</v>
      </c>
      <c r="B28" t="s">
        <v>20</v>
      </c>
      <c r="C28" t="s">
        <v>30</v>
      </c>
      <c r="D28">
        <v>5</v>
      </c>
      <c r="E28">
        <v>45.71</v>
      </c>
      <c r="F28" t="str">
        <f t="shared" si="0"/>
        <v>2024-08</v>
      </c>
      <c r="G28">
        <f t="shared" si="1"/>
        <v>228.55</v>
      </c>
      <c r="H28" s="2">
        <v>45510.857630524908</v>
      </c>
      <c r="I28" t="s">
        <v>31</v>
      </c>
      <c r="J28" t="s">
        <v>99</v>
      </c>
    </row>
    <row r="29" spans="1:10" x14ac:dyDescent="0.3">
      <c r="A29" t="s">
        <v>100</v>
      </c>
      <c r="B29" t="s">
        <v>21</v>
      </c>
      <c r="C29" t="s">
        <v>30</v>
      </c>
      <c r="D29">
        <v>4</v>
      </c>
      <c r="E29">
        <v>47.8</v>
      </c>
      <c r="F29" t="str">
        <f t="shared" si="0"/>
        <v>2024-10</v>
      </c>
      <c r="G29">
        <f t="shared" si="1"/>
        <v>191.2</v>
      </c>
      <c r="H29" s="2">
        <v>45583.857630524908</v>
      </c>
      <c r="I29" t="s">
        <v>31</v>
      </c>
      <c r="J29" t="s">
        <v>101</v>
      </c>
    </row>
    <row r="30" spans="1:10" x14ac:dyDescent="0.3">
      <c r="A30" t="s">
        <v>102</v>
      </c>
      <c r="B30" t="s">
        <v>26</v>
      </c>
      <c r="C30" t="s">
        <v>28</v>
      </c>
      <c r="D30">
        <v>3</v>
      </c>
      <c r="E30">
        <v>35.51</v>
      </c>
      <c r="F30" t="str">
        <f t="shared" si="0"/>
        <v>2024-06</v>
      </c>
      <c r="G30">
        <f t="shared" si="1"/>
        <v>106.53</v>
      </c>
      <c r="H30" s="2">
        <v>45463.857630524908</v>
      </c>
      <c r="I30" t="s">
        <v>34</v>
      </c>
      <c r="J30" t="s">
        <v>103</v>
      </c>
    </row>
    <row r="31" spans="1:10" x14ac:dyDescent="0.3">
      <c r="A31" t="s">
        <v>104</v>
      </c>
      <c r="B31" t="s">
        <v>22</v>
      </c>
      <c r="C31" t="s">
        <v>30</v>
      </c>
      <c r="D31">
        <v>5</v>
      </c>
      <c r="E31">
        <v>14.51</v>
      </c>
      <c r="F31" t="str">
        <f t="shared" si="0"/>
        <v>2024-10</v>
      </c>
      <c r="G31">
        <f t="shared" si="1"/>
        <v>72.55</v>
      </c>
      <c r="H31" s="2">
        <v>45567.857630524908</v>
      </c>
      <c r="I31" t="s">
        <v>33</v>
      </c>
      <c r="J31" t="s">
        <v>105</v>
      </c>
    </row>
    <row r="32" spans="1:10" x14ac:dyDescent="0.3">
      <c r="A32" t="s">
        <v>106</v>
      </c>
      <c r="B32" t="s">
        <v>23</v>
      </c>
      <c r="C32" t="s">
        <v>28</v>
      </c>
      <c r="D32">
        <v>4</v>
      </c>
      <c r="E32">
        <v>44.71</v>
      </c>
      <c r="F32" t="str">
        <f t="shared" si="0"/>
        <v>2024-07</v>
      </c>
      <c r="G32">
        <f t="shared" si="1"/>
        <v>178.84</v>
      </c>
      <c r="H32" s="2">
        <v>45477.857630524908</v>
      </c>
      <c r="I32" t="s">
        <v>31</v>
      </c>
      <c r="J32" t="s">
        <v>107</v>
      </c>
    </row>
    <row r="33" spans="1:10" x14ac:dyDescent="0.3">
      <c r="A33" t="s">
        <v>108</v>
      </c>
      <c r="B33" t="s">
        <v>26</v>
      </c>
      <c r="C33" t="s">
        <v>28</v>
      </c>
      <c r="D33">
        <v>4</v>
      </c>
      <c r="E33">
        <v>51.01</v>
      </c>
      <c r="F33" t="str">
        <f t="shared" si="0"/>
        <v>2025-01</v>
      </c>
      <c r="G33">
        <f t="shared" si="1"/>
        <v>204.04</v>
      </c>
      <c r="H33" s="2">
        <v>45663.857630524908</v>
      </c>
      <c r="I33" t="s">
        <v>32</v>
      </c>
      <c r="J33" t="s">
        <v>109</v>
      </c>
    </row>
    <row r="34" spans="1:10" x14ac:dyDescent="0.3">
      <c r="A34" t="s">
        <v>110</v>
      </c>
      <c r="B34" t="s">
        <v>20</v>
      </c>
      <c r="C34" t="s">
        <v>30</v>
      </c>
      <c r="D34">
        <v>3</v>
      </c>
      <c r="E34">
        <v>29.59</v>
      </c>
      <c r="F34" t="str">
        <f t="shared" si="0"/>
        <v>2024-09</v>
      </c>
      <c r="G34">
        <f t="shared" si="1"/>
        <v>88.77</v>
      </c>
      <c r="H34" s="2">
        <v>45558.857630524908</v>
      </c>
      <c r="I34" t="s">
        <v>35</v>
      </c>
      <c r="J34" t="s">
        <v>111</v>
      </c>
    </row>
    <row r="35" spans="1:10" x14ac:dyDescent="0.3">
      <c r="A35" t="s">
        <v>112</v>
      </c>
      <c r="B35" t="s">
        <v>22</v>
      </c>
      <c r="C35" t="s">
        <v>30</v>
      </c>
      <c r="D35">
        <v>1</v>
      </c>
      <c r="E35">
        <v>17.68</v>
      </c>
      <c r="F35" t="str">
        <f t="shared" si="0"/>
        <v>2024-12</v>
      </c>
      <c r="G35">
        <f t="shared" si="1"/>
        <v>17.68</v>
      </c>
      <c r="H35" s="2">
        <v>45633.857630524908</v>
      </c>
      <c r="I35" t="s">
        <v>35</v>
      </c>
      <c r="J35" t="s">
        <v>113</v>
      </c>
    </row>
    <row r="36" spans="1:10" x14ac:dyDescent="0.3">
      <c r="A36" t="s">
        <v>114</v>
      </c>
      <c r="B36" t="s">
        <v>19</v>
      </c>
      <c r="C36" t="s">
        <v>28</v>
      </c>
      <c r="D36">
        <v>2</v>
      </c>
      <c r="E36">
        <v>37.5</v>
      </c>
      <c r="F36" t="str">
        <f t="shared" si="0"/>
        <v>2024-07</v>
      </c>
      <c r="G36">
        <f t="shared" si="1"/>
        <v>75</v>
      </c>
      <c r="H36" s="2">
        <v>45476.857630524908</v>
      </c>
      <c r="I36" t="s">
        <v>32</v>
      </c>
      <c r="J36" t="s">
        <v>115</v>
      </c>
    </row>
    <row r="37" spans="1:10" x14ac:dyDescent="0.3">
      <c r="A37" t="s">
        <v>116</v>
      </c>
      <c r="B37" t="s">
        <v>27</v>
      </c>
      <c r="C37" t="s">
        <v>28</v>
      </c>
      <c r="D37">
        <v>4</v>
      </c>
      <c r="E37">
        <v>24.26</v>
      </c>
      <c r="F37" t="str">
        <f t="shared" si="0"/>
        <v>2024-12</v>
      </c>
      <c r="G37">
        <f t="shared" si="1"/>
        <v>97.04</v>
      </c>
      <c r="H37" s="2">
        <v>45638.857630524908</v>
      </c>
      <c r="I37" t="s">
        <v>33</v>
      </c>
      <c r="J37" t="s">
        <v>117</v>
      </c>
    </row>
    <row r="38" spans="1:10" x14ac:dyDescent="0.3">
      <c r="A38" t="s">
        <v>118</v>
      </c>
      <c r="B38" t="s">
        <v>19</v>
      </c>
      <c r="C38" t="s">
        <v>28</v>
      </c>
      <c r="D38">
        <v>5</v>
      </c>
      <c r="E38">
        <v>55.83</v>
      </c>
      <c r="F38" t="str">
        <f t="shared" si="0"/>
        <v>2024-05</v>
      </c>
      <c r="G38">
        <f t="shared" si="1"/>
        <v>279.14999999999998</v>
      </c>
      <c r="H38" s="2">
        <v>45439.857630524908</v>
      </c>
      <c r="I38" t="s">
        <v>34</v>
      </c>
      <c r="J38" t="s">
        <v>119</v>
      </c>
    </row>
    <row r="39" spans="1:10" x14ac:dyDescent="0.3">
      <c r="A39" t="s">
        <v>120</v>
      </c>
      <c r="B39" t="s">
        <v>21</v>
      </c>
      <c r="C39" t="s">
        <v>30</v>
      </c>
      <c r="D39">
        <v>4</v>
      </c>
      <c r="E39">
        <v>46.45</v>
      </c>
      <c r="F39" t="str">
        <f t="shared" si="0"/>
        <v>2024-09</v>
      </c>
      <c r="G39">
        <f t="shared" si="1"/>
        <v>185.8</v>
      </c>
      <c r="H39" s="2">
        <v>45549.857630524908</v>
      </c>
      <c r="I39" t="s">
        <v>35</v>
      </c>
      <c r="J39" t="s">
        <v>121</v>
      </c>
    </row>
    <row r="40" spans="1:10" x14ac:dyDescent="0.3">
      <c r="A40" t="s">
        <v>122</v>
      </c>
      <c r="B40" t="s">
        <v>17</v>
      </c>
      <c r="C40" t="s">
        <v>29</v>
      </c>
      <c r="D40">
        <v>4</v>
      </c>
      <c r="E40">
        <v>23.6</v>
      </c>
      <c r="F40" t="str">
        <f t="shared" si="0"/>
        <v>2024-07</v>
      </c>
      <c r="G40">
        <f t="shared" si="1"/>
        <v>94.4</v>
      </c>
      <c r="H40" s="2">
        <v>45488.857630524908</v>
      </c>
      <c r="I40" t="s">
        <v>35</v>
      </c>
      <c r="J40" t="s">
        <v>123</v>
      </c>
    </row>
    <row r="41" spans="1:10" x14ac:dyDescent="0.3">
      <c r="A41" t="s">
        <v>124</v>
      </c>
      <c r="B41" t="s">
        <v>17</v>
      </c>
      <c r="C41" t="s">
        <v>29</v>
      </c>
      <c r="D41">
        <v>4</v>
      </c>
      <c r="E41">
        <v>18.61</v>
      </c>
      <c r="F41" t="str">
        <f t="shared" si="0"/>
        <v>2024-12</v>
      </c>
      <c r="G41">
        <f t="shared" si="1"/>
        <v>74.44</v>
      </c>
      <c r="H41" s="2">
        <v>45641.857630524908</v>
      </c>
      <c r="I41" t="s">
        <v>35</v>
      </c>
      <c r="J41" t="s">
        <v>125</v>
      </c>
    </row>
    <row r="42" spans="1:10" x14ac:dyDescent="0.3">
      <c r="A42" t="s">
        <v>126</v>
      </c>
      <c r="B42" t="s">
        <v>25</v>
      </c>
      <c r="C42" t="s">
        <v>30</v>
      </c>
      <c r="D42">
        <v>4</v>
      </c>
      <c r="E42">
        <v>44.93</v>
      </c>
      <c r="F42" t="str">
        <f t="shared" si="0"/>
        <v>2024-10</v>
      </c>
      <c r="G42">
        <f t="shared" si="1"/>
        <v>179.72</v>
      </c>
      <c r="H42" s="2">
        <v>45568.857630524908</v>
      </c>
      <c r="I42" t="s">
        <v>31</v>
      </c>
      <c r="J42" t="s">
        <v>127</v>
      </c>
    </row>
    <row r="43" spans="1:10" x14ac:dyDescent="0.3">
      <c r="A43" t="s">
        <v>128</v>
      </c>
      <c r="B43" t="s">
        <v>19</v>
      </c>
      <c r="C43" t="s">
        <v>28</v>
      </c>
      <c r="D43">
        <v>1</v>
      </c>
      <c r="E43">
        <v>20.85</v>
      </c>
      <c r="F43" t="str">
        <f t="shared" si="0"/>
        <v>2025-01</v>
      </c>
      <c r="G43">
        <f t="shared" si="1"/>
        <v>20.85</v>
      </c>
      <c r="H43" s="2">
        <v>45685.857630524908</v>
      </c>
      <c r="I43" t="s">
        <v>31</v>
      </c>
      <c r="J43" t="s">
        <v>129</v>
      </c>
    </row>
    <row r="44" spans="1:10" x14ac:dyDescent="0.3">
      <c r="A44" t="s">
        <v>130</v>
      </c>
      <c r="B44" t="s">
        <v>26</v>
      </c>
      <c r="C44" t="s">
        <v>28</v>
      </c>
      <c r="D44">
        <v>3</v>
      </c>
      <c r="E44">
        <v>27.34</v>
      </c>
      <c r="F44" t="str">
        <f t="shared" si="0"/>
        <v>2024-09</v>
      </c>
      <c r="G44">
        <f t="shared" si="1"/>
        <v>82.02</v>
      </c>
      <c r="H44" s="2">
        <v>45536.857630524908</v>
      </c>
      <c r="I44" t="s">
        <v>35</v>
      </c>
      <c r="J44" t="s">
        <v>131</v>
      </c>
    </row>
    <row r="45" spans="1:10" x14ac:dyDescent="0.3">
      <c r="A45" t="s">
        <v>132</v>
      </c>
      <c r="B45" t="s">
        <v>26</v>
      </c>
      <c r="C45" t="s">
        <v>28</v>
      </c>
      <c r="D45">
        <v>3</v>
      </c>
      <c r="E45">
        <v>38.14</v>
      </c>
      <c r="F45" t="str">
        <f t="shared" si="0"/>
        <v>2024-09</v>
      </c>
      <c r="G45">
        <f t="shared" si="1"/>
        <v>114.42</v>
      </c>
      <c r="H45" s="2">
        <v>45546.857630524908</v>
      </c>
      <c r="I45" t="s">
        <v>32</v>
      </c>
      <c r="J45" t="s">
        <v>133</v>
      </c>
    </row>
    <row r="46" spans="1:10" x14ac:dyDescent="0.3">
      <c r="A46" t="s">
        <v>134</v>
      </c>
      <c r="B46" t="s">
        <v>25</v>
      </c>
      <c r="C46" t="s">
        <v>30</v>
      </c>
      <c r="D46">
        <v>5</v>
      </c>
      <c r="E46">
        <v>13.33</v>
      </c>
      <c r="F46" t="str">
        <f t="shared" si="0"/>
        <v>2024-11</v>
      </c>
      <c r="G46">
        <f t="shared" si="1"/>
        <v>66.650000000000006</v>
      </c>
      <c r="H46" s="2">
        <v>45613.857630524908</v>
      </c>
      <c r="I46" t="s">
        <v>33</v>
      </c>
      <c r="J46" t="s">
        <v>135</v>
      </c>
    </row>
    <row r="47" spans="1:10" x14ac:dyDescent="0.3">
      <c r="A47" t="s">
        <v>136</v>
      </c>
      <c r="B47" t="s">
        <v>18</v>
      </c>
      <c r="C47" t="s">
        <v>29</v>
      </c>
      <c r="D47">
        <v>3</v>
      </c>
      <c r="E47">
        <v>13.83</v>
      </c>
      <c r="F47" t="str">
        <f t="shared" si="0"/>
        <v>2025-03</v>
      </c>
      <c r="G47">
        <f t="shared" si="1"/>
        <v>41.49</v>
      </c>
      <c r="H47" s="2">
        <v>45742.857630524908</v>
      </c>
      <c r="I47" t="s">
        <v>32</v>
      </c>
      <c r="J47" t="s">
        <v>137</v>
      </c>
    </row>
    <row r="48" spans="1:10" x14ac:dyDescent="0.3">
      <c r="A48" t="s">
        <v>138</v>
      </c>
      <c r="B48" t="s">
        <v>26</v>
      </c>
      <c r="C48" t="s">
        <v>28</v>
      </c>
      <c r="D48">
        <v>3</v>
      </c>
      <c r="E48">
        <v>52.37</v>
      </c>
      <c r="F48" t="str">
        <f t="shared" si="0"/>
        <v>2024-04</v>
      </c>
      <c r="G48">
        <f t="shared" si="1"/>
        <v>157.10999999999999</v>
      </c>
      <c r="H48" s="2">
        <v>45410.857630524908</v>
      </c>
      <c r="I48" t="s">
        <v>32</v>
      </c>
      <c r="J48" t="s">
        <v>139</v>
      </c>
    </row>
    <row r="49" spans="1:10" x14ac:dyDescent="0.3">
      <c r="A49" t="s">
        <v>140</v>
      </c>
      <c r="B49" t="s">
        <v>18</v>
      </c>
      <c r="C49" t="s">
        <v>29</v>
      </c>
      <c r="D49">
        <v>3</v>
      </c>
      <c r="E49">
        <v>37.1</v>
      </c>
      <c r="F49" t="str">
        <f t="shared" si="0"/>
        <v>2025-03</v>
      </c>
      <c r="G49">
        <f t="shared" si="1"/>
        <v>111.30000000000001</v>
      </c>
      <c r="H49" s="2">
        <v>45721.857630524908</v>
      </c>
      <c r="I49" t="s">
        <v>35</v>
      </c>
      <c r="J49" t="s">
        <v>141</v>
      </c>
    </row>
    <row r="50" spans="1:10" x14ac:dyDescent="0.3">
      <c r="A50" t="s">
        <v>142</v>
      </c>
      <c r="B50" t="s">
        <v>17</v>
      </c>
      <c r="C50" t="s">
        <v>29</v>
      </c>
      <c r="D50">
        <v>5</v>
      </c>
      <c r="E50">
        <v>58.74</v>
      </c>
      <c r="F50" t="str">
        <f t="shared" si="0"/>
        <v>2024-09</v>
      </c>
      <c r="G50">
        <f t="shared" si="1"/>
        <v>293.7</v>
      </c>
      <c r="H50" s="2">
        <v>45550.857630524908</v>
      </c>
      <c r="I50" t="s">
        <v>31</v>
      </c>
      <c r="J50" t="s">
        <v>143</v>
      </c>
    </row>
    <row r="51" spans="1:10" x14ac:dyDescent="0.3">
      <c r="A51" t="s">
        <v>144</v>
      </c>
      <c r="B51" t="s">
        <v>22</v>
      </c>
      <c r="C51" t="s">
        <v>30</v>
      </c>
      <c r="D51">
        <v>3</v>
      </c>
      <c r="E51">
        <v>55.5</v>
      </c>
      <c r="F51" t="str">
        <f t="shared" si="0"/>
        <v>2024-12</v>
      </c>
      <c r="G51">
        <f t="shared" si="1"/>
        <v>166.5</v>
      </c>
      <c r="H51" s="2">
        <v>45656.857630524908</v>
      </c>
      <c r="I51" t="s">
        <v>34</v>
      </c>
      <c r="J51" t="s">
        <v>145</v>
      </c>
    </row>
    <row r="52" spans="1:10" x14ac:dyDescent="0.3">
      <c r="A52" t="s">
        <v>146</v>
      </c>
      <c r="B52" t="s">
        <v>23</v>
      </c>
      <c r="C52" t="s">
        <v>28</v>
      </c>
      <c r="D52">
        <v>1</v>
      </c>
      <c r="E52">
        <v>24.08</v>
      </c>
      <c r="F52" t="str">
        <f t="shared" si="0"/>
        <v>2024-04</v>
      </c>
      <c r="G52">
        <f t="shared" si="1"/>
        <v>24.08</v>
      </c>
      <c r="H52" s="2">
        <v>45407.857630524908</v>
      </c>
      <c r="I52" t="s">
        <v>34</v>
      </c>
      <c r="J52" t="s">
        <v>147</v>
      </c>
    </row>
    <row r="53" spans="1:10" x14ac:dyDescent="0.3">
      <c r="A53" t="s">
        <v>148</v>
      </c>
      <c r="B53" t="s">
        <v>19</v>
      </c>
      <c r="C53" t="s">
        <v>28</v>
      </c>
      <c r="D53">
        <v>1</v>
      </c>
      <c r="E53">
        <v>33.020000000000003</v>
      </c>
      <c r="F53" t="str">
        <f t="shared" si="0"/>
        <v>2024-11</v>
      </c>
      <c r="G53">
        <f t="shared" si="1"/>
        <v>33.020000000000003</v>
      </c>
      <c r="H53" s="2">
        <v>45621.857630524908</v>
      </c>
      <c r="I53" t="s">
        <v>32</v>
      </c>
      <c r="J53" t="s">
        <v>149</v>
      </c>
    </row>
    <row r="54" spans="1:10" x14ac:dyDescent="0.3">
      <c r="A54" t="s">
        <v>150</v>
      </c>
      <c r="B54" t="s">
        <v>16</v>
      </c>
      <c r="C54" t="s">
        <v>29</v>
      </c>
      <c r="D54">
        <v>2</v>
      </c>
      <c r="E54">
        <v>29.63</v>
      </c>
      <c r="F54" t="str">
        <f t="shared" si="0"/>
        <v>2024-09</v>
      </c>
      <c r="G54">
        <f t="shared" si="1"/>
        <v>59.26</v>
      </c>
      <c r="H54" s="2">
        <v>45542.857630524908</v>
      </c>
      <c r="I54" t="s">
        <v>32</v>
      </c>
      <c r="J54" t="s">
        <v>151</v>
      </c>
    </row>
    <row r="55" spans="1:10" x14ac:dyDescent="0.3">
      <c r="A55" t="s">
        <v>152</v>
      </c>
      <c r="B55" t="s">
        <v>22</v>
      </c>
      <c r="C55" t="s">
        <v>30</v>
      </c>
      <c r="D55">
        <v>3</v>
      </c>
      <c r="E55">
        <v>19.739999999999998</v>
      </c>
      <c r="F55" t="str">
        <f t="shared" si="0"/>
        <v>2024-11</v>
      </c>
      <c r="G55">
        <f t="shared" si="1"/>
        <v>59.22</v>
      </c>
      <c r="H55" s="2">
        <v>45622.857630524908</v>
      </c>
      <c r="I55" t="s">
        <v>32</v>
      </c>
      <c r="J55" t="s">
        <v>153</v>
      </c>
    </row>
    <row r="56" spans="1:10" x14ac:dyDescent="0.3">
      <c r="A56" t="s">
        <v>154</v>
      </c>
      <c r="B56" t="s">
        <v>25</v>
      </c>
      <c r="C56" t="s">
        <v>30</v>
      </c>
      <c r="D56">
        <v>2</v>
      </c>
      <c r="E56">
        <v>55.9</v>
      </c>
      <c r="F56" t="str">
        <f t="shared" si="0"/>
        <v>2024-11</v>
      </c>
      <c r="G56">
        <f t="shared" si="1"/>
        <v>111.8</v>
      </c>
      <c r="H56" s="2">
        <v>45600.857630524908</v>
      </c>
      <c r="I56" t="s">
        <v>32</v>
      </c>
      <c r="J56" t="s">
        <v>155</v>
      </c>
    </row>
    <row r="57" spans="1:10" x14ac:dyDescent="0.3">
      <c r="A57" t="s">
        <v>156</v>
      </c>
      <c r="B57" t="s">
        <v>24</v>
      </c>
      <c r="C57" t="s">
        <v>28</v>
      </c>
      <c r="D57">
        <v>4</v>
      </c>
      <c r="E57">
        <v>15.45</v>
      </c>
      <c r="F57" t="str">
        <f t="shared" si="0"/>
        <v>2024-06</v>
      </c>
      <c r="G57">
        <f t="shared" si="1"/>
        <v>61.8</v>
      </c>
      <c r="H57" s="2">
        <v>45449.857630524908</v>
      </c>
      <c r="I57" t="s">
        <v>31</v>
      </c>
      <c r="J57" t="s">
        <v>157</v>
      </c>
    </row>
    <row r="58" spans="1:10" x14ac:dyDescent="0.3">
      <c r="A58" t="s">
        <v>158</v>
      </c>
      <c r="B58" t="s">
        <v>16</v>
      </c>
      <c r="C58" t="s">
        <v>29</v>
      </c>
      <c r="D58">
        <v>5</v>
      </c>
      <c r="E58">
        <v>57.98</v>
      </c>
      <c r="F58" t="str">
        <f t="shared" si="0"/>
        <v>2025-01</v>
      </c>
      <c r="G58">
        <f t="shared" si="1"/>
        <v>289.89999999999998</v>
      </c>
      <c r="H58" s="2">
        <v>45667.857630524908</v>
      </c>
      <c r="I58" t="s">
        <v>35</v>
      </c>
      <c r="J58" t="s">
        <v>159</v>
      </c>
    </row>
    <row r="59" spans="1:10" x14ac:dyDescent="0.3">
      <c r="A59" t="s">
        <v>160</v>
      </c>
      <c r="B59" t="s">
        <v>20</v>
      </c>
      <c r="C59" t="s">
        <v>30</v>
      </c>
      <c r="D59">
        <v>2</v>
      </c>
      <c r="E59">
        <v>45.56</v>
      </c>
      <c r="F59" t="str">
        <f t="shared" si="0"/>
        <v>2024-08</v>
      </c>
      <c r="G59">
        <f t="shared" si="1"/>
        <v>91.12</v>
      </c>
      <c r="H59" s="2">
        <v>45535.857630524908</v>
      </c>
      <c r="I59" t="s">
        <v>32</v>
      </c>
      <c r="J59" t="s">
        <v>161</v>
      </c>
    </row>
    <row r="60" spans="1:10" x14ac:dyDescent="0.3">
      <c r="A60" t="s">
        <v>162</v>
      </c>
      <c r="B60" t="s">
        <v>25</v>
      </c>
      <c r="C60" t="s">
        <v>30</v>
      </c>
      <c r="D60">
        <v>3</v>
      </c>
      <c r="E60">
        <v>43.21</v>
      </c>
      <c r="F60" t="str">
        <f t="shared" si="0"/>
        <v>2024-07</v>
      </c>
      <c r="G60">
        <f t="shared" si="1"/>
        <v>129.63</v>
      </c>
      <c r="H60" s="2">
        <v>45482.857630524908</v>
      </c>
      <c r="I60" t="s">
        <v>31</v>
      </c>
      <c r="J60" t="s">
        <v>163</v>
      </c>
    </row>
    <row r="61" spans="1:10" x14ac:dyDescent="0.3">
      <c r="A61" t="s">
        <v>164</v>
      </c>
      <c r="B61" t="s">
        <v>18</v>
      </c>
      <c r="C61" t="s">
        <v>29</v>
      </c>
      <c r="D61">
        <v>4</v>
      </c>
      <c r="E61">
        <v>37.979999999999997</v>
      </c>
      <c r="F61" t="str">
        <f t="shared" si="0"/>
        <v>2025-01</v>
      </c>
      <c r="G61">
        <f t="shared" si="1"/>
        <v>151.91999999999999</v>
      </c>
      <c r="H61" s="2">
        <v>45669.857630524908</v>
      </c>
      <c r="I61" t="s">
        <v>34</v>
      </c>
      <c r="J61" t="s">
        <v>165</v>
      </c>
    </row>
    <row r="62" spans="1:10" x14ac:dyDescent="0.3">
      <c r="A62" t="s">
        <v>166</v>
      </c>
      <c r="B62" t="s">
        <v>26</v>
      </c>
      <c r="C62" t="s">
        <v>28</v>
      </c>
      <c r="D62">
        <v>2</v>
      </c>
      <c r="E62">
        <v>32.99</v>
      </c>
      <c r="F62" t="str">
        <f t="shared" si="0"/>
        <v>2024-08</v>
      </c>
      <c r="G62">
        <f t="shared" si="1"/>
        <v>65.98</v>
      </c>
      <c r="H62" s="2">
        <v>45506.857630524908</v>
      </c>
      <c r="I62" t="s">
        <v>32</v>
      </c>
      <c r="J62" t="s">
        <v>167</v>
      </c>
    </row>
    <row r="63" spans="1:10" x14ac:dyDescent="0.3">
      <c r="A63" t="s">
        <v>168</v>
      </c>
      <c r="B63" t="s">
        <v>18</v>
      </c>
      <c r="C63" t="s">
        <v>29</v>
      </c>
      <c r="D63">
        <v>2</v>
      </c>
      <c r="E63">
        <v>49.23</v>
      </c>
      <c r="F63" t="str">
        <f t="shared" si="0"/>
        <v>2024-07</v>
      </c>
      <c r="G63">
        <f t="shared" si="1"/>
        <v>98.46</v>
      </c>
      <c r="H63" s="2">
        <v>45500.857630524908</v>
      </c>
      <c r="I63" t="s">
        <v>31</v>
      </c>
      <c r="J63" t="s">
        <v>169</v>
      </c>
    </row>
    <row r="64" spans="1:10" x14ac:dyDescent="0.3">
      <c r="A64" t="s">
        <v>170</v>
      </c>
      <c r="B64" t="s">
        <v>19</v>
      </c>
      <c r="C64" t="s">
        <v>28</v>
      </c>
      <c r="D64">
        <v>3</v>
      </c>
      <c r="E64">
        <v>20.97</v>
      </c>
      <c r="F64" t="str">
        <f t="shared" si="0"/>
        <v>2025-01</v>
      </c>
      <c r="G64">
        <f t="shared" si="1"/>
        <v>62.91</v>
      </c>
      <c r="H64" s="2">
        <v>45680.857630524908</v>
      </c>
      <c r="I64" t="s">
        <v>31</v>
      </c>
      <c r="J64" t="s">
        <v>171</v>
      </c>
    </row>
    <row r="65" spans="1:10" x14ac:dyDescent="0.3">
      <c r="A65" t="s">
        <v>172</v>
      </c>
      <c r="B65" t="s">
        <v>24</v>
      </c>
      <c r="C65" t="s">
        <v>28</v>
      </c>
      <c r="D65">
        <v>1</v>
      </c>
      <c r="E65">
        <v>19.12</v>
      </c>
      <c r="F65" t="str">
        <f t="shared" si="0"/>
        <v>2024-07</v>
      </c>
      <c r="G65">
        <f t="shared" si="1"/>
        <v>19.12</v>
      </c>
      <c r="H65" s="2">
        <v>45498.857630524908</v>
      </c>
      <c r="I65" t="s">
        <v>35</v>
      </c>
      <c r="J65" t="s">
        <v>173</v>
      </c>
    </row>
    <row r="66" spans="1:10" x14ac:dyDescent="0.3">
      <c r="A66" t="s">
        <v>174</v>
      </c>
      <c r="B66" t="s">
        <v>17</v>
      </c>
      <c r="C66" t="s">
        <v>29</v>
      </c>
      <c r="D66">
        <v>1</v>
      </c>
      <c r="E66">
        <v>39.840000000000003</v>
      </c>
      <c r="F66" t="str">
        <f t="shared" si="0"/>
        <v>2024-08</v>
      </c>
      <c r="G66">
        <f t="shared" si="1"/>
        <v>39.840000000000003</v>
      </c>
      <c r="H66" s="2">
        <v>45521.857630524908</v>
      </c>
      <c r="I66" t="s">
        <v>32</v>
      </c>
      <c r="J66" t="s">
        <v>175</v>
      </c>
    </row>
    <row r="67" spans="1:10" x14ac:dyDescent="0.3">
      <c r="A67" t="s">
        <v>176</v>
      </c>
      <c r="B67" t="s">
        <v>16</v>
      </c>
      <c r="C67" t="s">
        <v>29</v>
      </c>
      <c r="D67">
        <v>5</v>
      </c>
      <c r="E67">
        <v>11.83</v>
      </c>
      <c r="F67" t="str">
        <f t="shared" ref="F67:F130" si="2">TEXT(H67, "yyyy-mm")</f>
        <v>2024-10</v>
      </c>
      <c r="G67">
        <f t="shared" ref="G67:G130" si="3">D67*E67</f>
        <v>59.15</v>
      </c>
      <c r="H67" s="2">
        <v>45583.857630524908</v>
      </c>
      <c r="I67" t="s">
        <v>35</v>
      </c>
      <c r="J67" t="s">
        <v>177</v>
      </c>
    </row>
    <row r="68" spans="1:10" x14ac:dyDescent="0.3">
      <c r="A68" t="s">
        <v>178</v>
      </c>
      <c r="B68" t="s">
        <v>26</v>
      </c>
      <c r="C68" t="s">
        <v>28</v>
      </c>
      <c r="D68">
        <v>1</v>
      </c>
      <c r="E68">
        <v>50.18</v>
      </c>
      <c r="F68" t="str">
        <f t="shared" si="2"/>
        <v>2025-02</v>
      </c>
      <c r="G68">
        <f t="shared" si="3"/>
        <v>50.18</v>
      </c>
      <c r="H68" s="2">
        <v>45690.857630524908</v>
      </c>
      <c r="I68" t="s">
        <v>34</v>
      </c>
      <c r="J68" t="s">
        <v>179</v>
      </c>
    </row>
    <row r="69" spans="1:10" x14ac:dyDescent="0.3">
      <c r="A69" t="s">
        <v>180</v>
      </c>
      <c r="B69" t="s">
        <v>24</v>
      </c>
      <c r="C69" t="s">
        <v>28</v>
      </c>
      <c r="D69">
        <v>1</v>
      </c>
      <c r="E69">
        <v>17.59</v>
      </c>
      <c r="F69" t="str">
        <f t="shared" si="2"/>
        <v>2024-04</v>
      </c>
      <c r="G69">
        <f t="shared" si="3"/>
        <v>17.59</v>
      </c>
      <c r="H69" s="2">
        <v>45393.857630524908</v>
      </c>
      <c r="I69" t="s">
        <v>35</v>
      </c>
      <c r="J69" t="s">
        <v>181</v>
      </c>
    </row>
    <row r="70" spans="1:10" x14ac:dyDescent="0.3">
      <c r="A70" t="s">
        <v>182</v>
      </c>
      <c r="B70" t="s">
        <v>18</v>
      </c>
      <c r="C70" t="s">
        <v>29</v>
      </c>
      <c r="D70">
        <v>3</v>
      </c>
      <c r="E70">
        <v>16.29</v>
      </c>
      <c r="F70" t="str">
        <f t="shared" si="2"/>
        <v>2024-12</v>
      </c>
      <c r="G70">
        <f t="shared" si="3"/>
        <v>48.87</v>
      </c>
      <c r="H70" s="2">
        <v>45653.857630524908</v>
      </c>
      <c r="I70" t="s">
        <v>34</v>
      </c>
      <c r="J70" t="s">
        <v>183</v>
      </c>
    </row>
    <row r="71" spans="1:10" x14ac:dyDescent="0.3">
      <c r="A71" t="s">
        <v>184</v>
      </c>
      <c r="B71" t="s">
        <v>18</v>
      </c>
      <c r="C71" t="s">
        <v>29</v>
      </c>
      <c r="D71">
        <v>2</v>
      </c>
      <c r="E71">
        <v>19.850000000000001</v>
      </c>
      <c r="F71" t="str">
        <f t="shared" si="2"/>
        <v>2025-01</v>
      </c>
      <c r="G71">
        <f t="shared" si="3"/>
        <v>39.700000000000003</v>
      </c>
      <c r="H71" s="2">
        <v>45670.857630524908</v>
      </c>
      <c r="I71" t="s">
        <v>33</v>
      </c>
      <c r="J71" t="s">
        <v>185</v>
      </c>
    </row>
    <row r="72" spans="1:10" x14ac:dyDescent="0.3">
      <c r="A72" t="s">
        <v>186</v>
      </c>
      <c r="B72" t="s">
        <v>17</v>
      </c>
      <c r="C72" t="s">
        <v>29</v>
      </c>
      <c r="D72">
        <v>2</v>
      </c>
      <c r="E72">
        <v>18.21</v>
      </c>
      <c r="F72" t="str">
        <f t="shared" si="2"/>
        <v>2024-10</v>
      </c>
      <c r="G72">
        <f t="shared" si="3"/>
        <v>36.42</v>
      </c>
      <c r="H72" s="2">
        <v>45582.857630524908</v>
      </c>
      <c r="I72" t="s">
        <v>35</v>
      </c>
      <c r="J72" t="s">
        <v>187</v>
      </c>
    </row>
    <row r="73" spans="1:10" x14ac:dyDescent="0.3">
      <c r="A73" t="s">
        <v>188</v>
      </c>
      <c r="B73" t="s">
        <v>19</v>
      </c>
      <c r="C73" t="s">
        <v>28</v>
      </c>
      <c r="D73">
        <v>4</v>
      </c>
      <c r="E73">
        <v>33.86</v>
      </c>
      <c r="F73" t="str">
        <f t="shared" si="2"/>
        <v>2024-08</v>
      </c>
      <c r="G73">
        <f t="shared" si="3"/>
        <v>135.44</v>
      </c>
      <c r="H73" s="2">
        <v>45524.857630524908</v>
      </c>
      <c r="I73" t="s">
        <v>31</v>
      </c>
      <c r="J73" t="s">
        <v>189</v>
      </c>
    </row>
    <row r="74" spans="1:10" x14ac:dyDescent="0.3">
      <c r="A74" t="s">
        <v>190</v>
      </c>
      <c r="B74" t="s">
        <v>17</v>
      </c>
      <c r="C74" t="s">
        <v>29</v>
      </c>
      <c r="D74">
        <v>1</v>
      </c>
      <c r="E74">
        <v>19.760000000000002</v>
      </c>
      <c r="F74" t="str">
        <f t="shared" si="2"/>
        <v>2025-03</v>
      </c>
      <c r="G74">
        <f t="shared" si="3"/>
        <v>19.760000000000002</v>
      </c>
      <c r="H74" s="2">
        <v>45735.857630524908</v>
      </c>
      <c r="I74" t="s">
        <v>32</v>
      </c>
      <c r="J74" t="s">
        <v>191</v>
      </c>
    </row>
    <row r="75" spans="1:10" x14ac:dyDescent="0.3">
      <c r="A75" t="s">
        <v>192</v>
      </c>
      <c r="B75" t="s">
        <v>27</v>
      </c>
      <c r="C75" t="s">
        <v>28</v>
      </c>
      <c r="D75">
        <v>2</v>
      </c>
      <c r="E75">
        <v>26.87</v>
      </c>
      <c r="F75" t="str">
        <f t="shared" si="2"/>
        <v>2024-11</v>
      </c>
      <c r="G75">
        <f t="shared" si="3"/>
        <v>53.74</v>
      </c>
      <c r="H75" s="2">
        <v>45602.857630524908</v>
      </c>
      <c r="I75" t="s">
        <v>34</v>
      </c>
      <c r="J75" t="s">
        <v>193</v>
      </c>
    </row>
    <row r="76" spans="1:10" x14ac:dyDescent="0.3">
      <c r="A76" t="s">
        <v>194</v>
      </c>
      <c r="B76" t="s">
        <v>22</v>
      </c>
      <c r="C76" t="s">
        <v>30</v>
      </c>
      <c r="D76">
        <v>5</v>
      </c>
      <c r="E76">
        <v>42.11</v>
      </c>
      <c r="F76" t="str">
        <f t="shared" si="2"/>
        <v>2024-10</v>
      </c>
      <c r="G76">
        <f t="shared" si="3"/>
        <v>210.55</v>
      </c>
      <c r="H76" s="2">
        <v>45595.857630524908</v>
      </c>
      <c r="I76" t="s">
        <v>32</v>
      </c>
      <c r="J76" t="s">
        <v>195</v>
      </c>
    </row>
    <row r="77" spans="1:10" x14ac:dyDescent="0.3">
      <c r="A77" t="s">
        <v>196</v>
      </c>
      <c r="B77" t="s">
        <v>24</v>
      </c>
      <c r="C77" t="s">
        <v>28</v>
      </c>
      <c r="D77">
        <v>1</v>
      </c>
      <c r="E77">
        <v>11.12</v>
      </c>
      <c r="F77" t="str">
        <f t="shared" si="2"/>
        <v>2025-02</v>
      </c>
      <c r="G77">
        <f t="shared" si="3"/>
        <v>11.12</v>
      </c>
      <c r="H77" s="2">
        <v>45706.857630524908</v>
      </c>
      <c r="I77" t="s">
        <v>35</v>
      </c>
      <c r="J77" t="s">
        <v>197</v>
      </c>
    </row>
    <row r="78" spans="1:10" x14ac:dyDescent="0.3">
      <c r="A78" t="s">
        <v>198</v>
      </c>
      <c r="B78" t="s">
        <v>16</v>
      </c>
      <c r="C78" t="s">
        <v>29</v>
      </c>
      <c r="D78">
        <v>3</v>
      </c>
      <c r="E78">
        <v>18.27</v>
      </c>
      <c r="F78" t="str">
        <f t="shared" si="2"/>
        <v>2024-06</v>
      </c>
      <c r="G78">
        <f t="shared" si="3"/>
        <v>54.81</v>
      </c>
      <c r="H78" s="2">
        <v>45465.857630524908</v>
      </c>
      <c r="I78" t="s">
        <v>32</v>
      </c>
      <c r="J78" t="s">
        <v>199</v>
      </c>
    </row>
    <row r="79" spans="1:10" x14ac:dyDescent="0.3">
      <c r="A79" t="s">
        <v>200</v>
      </c>
      <c r="B79" t="s">
        <v>18</v>
      </c>
      <c r="C79" t="s">
        <v>29</v>
      </c>
      <c r="D79">
        <v>4</v>
      </c>
      <c r="E79">
        <v>11.75</v>
      </c>
      <c r="F79" t="str">
        <f t="shared" si="2"/>
        <v>2025-03</v>
      </c>
      <c r="G79">
        <f t="shared" si="3"/>
        <v>47</v>
      </c>
      <c r="H79" s="2">
        <v>45723.857630524908</v>
      </c>
      <c r="I79" t="s">
        <v>35</v>
      </c>
      <c r="J79" t="s">
        <v>201</v>
      </c>
    </row>
    <row r="80" spans="1:10" x14ac:dyDescent="0.3">
      <c r="A80" t="s">
        <v>202</v>
      </c>
      <c r="B80" t="s">
        <v>19</v>
      </c>
      <c r="C80" t="s">
        <v>28</v>
      </c>
      <c r="D80">
        <v>4</v>
      </c>
      <c r="E80">
        <v>26.98</v>
      </c>
      <c r="F80" t="str">
        <f t="shared" si="2"/>
        <v>2025-03</v>
      </c>
      <c r="G80">
        <f t="shared" si="3"/>
        <v>107.92</v>
      </c>
      <c r="H80" s="2">
        <v>45719.857630524908</v>
      </c>
      <c r="I80" t="s">
        <v>33</v>
      </c>
      <c r="J80" t="s">
        <v>203</v>
      </c>
    </row>
    <row r="81" spans="1:10" x14ac:dyDescent="0.3">
      <c r="A81" t="s">
        <v>204</v>
      </c>
      <c r="B81" t="s">
        <v>17</v>
      </c>
      <c r="C81" t="s">
        <v>29</v>
      </c>
      <c r="D81">
        <v>2</v>
      </c>
      <c r="E81">
        <v>52.91</v>
      </c>
      <c r="F81" t="str">
        <f t="shared" si="2"/>
        <v>2024-04</v>
      </c>
      <c r="G81">
        <f t="shared" si="3"/>
        <v>105.82</v>
      </c>
      <c r="H81" s="2">
        <v>45390.857630524908</v>
      </c>
      <c r="I81" t="s">
        <v>33</v>
      </c>
      <c r="J81" t="s">
        <v>205</v>
      </c>
    </row>
    <row r="82" spans="1:10" x14ac:dyDescent="0.3">
      <c r="A82" t="s">
        <v>206</v>
      </c>
      <c r="B82" t="s">
        <v>18</v>
      </c>
      <c r="C82" t="s">
        <v>29</v>
      </c>
      <c r="D82">
        <v>4</v>
      </c>
      <c r="E82">
        <v>41.87</v>
      </c>
      <c r="F82" t="str">
        <f t="shared" si="2"/>
        <v>2024-09</v>
      </c>
      <c r="G82">
        <f t="shared" si="3"/>
        <v>167.48</v>
      </c>
      <c r="H82" s="2">
        <v>45539.857630524908</v>
      </c>
      <c r="I82" t="s">
        <v>34</v>
      </c>
      <c r="J82" t="s">
        <v>207</v>
      </c>
    </row>
    <row r="83" spans="1:10" x14ac:dyDescent="0.3">
      <c r="A83" t="s">
        <v>208</v>
      </c>
      <c r="B83" t="s">
        <v>23</v>
      </c>
      <c r="C83" t="s">
        <v>28</v>
      </c>
      <c r="D83">
        <v>3</v>
      </c>
      <c r="E83">
        <v>50.27</v>
      </c>
      <c r="F83" t="str">
        <f t="shared" si="2"/>
        <v>2024-06</v>
      </c>
      <c r="G83">
        <f t="shared" si="3"/>
        <v>150.81</v>
      </c>
      <c r="H83" s="2">
        <v>45460.857630524908</v>
      </c>
      <c r="I83" t="s">
        <v>32</v>
      </c>
      <c r="J83" t="s">
        <v>209</v>
      </c>
    </row>
    <row r="84" spans="1:10" x14ac:dyDescent="0.3">
      <c r="A84" t="s">
        <v>210</v>
      </c>
      <c r="B84" t="s">
        <v>22</v>
      </c>
      <c r="C84" t="s">
        <v>30</v>
      </c>
      <c r="D84">
        <v>3</v>
      </c>
      <c r="E84">
        <v>12.05</v>
      </c>
      <c r="F84" t="str">
        <f t="shared" si="2"/>
        <v>2025-03</v>
      </c>
      <c r="G84">
        <f t="shared" si="3"/>
        <v>36.150000000000006</v>
      </c>
      <c r="H84" s="2">
        <v>45737.857630524908</v>
      </c>
      <c r="I84" t="s">
        <v>31</v>
      </c>
      <c r="J84" t="s">
        <v>211</v>
      </c>
    </row>
    <row r="85" spans="1:10" x14ac:dyDescent="0.3">
      <c r="A85" t="s">
        <v>212</v>
      </c>
      <c r="B85" t="s">
        <v>25</v>
      </c>
      <c r="C85" t="s">
        <v>30</v>
      </c>
      <c r="D85">
        <v>4</v>
      </c>
      <c r="E85">
        <v>51.59</v>
      </c>
      <c r="F85" t="str">
        <f t="shared" si="2"/>
        <v>2024-11</v>
      </c>
      <c r="G85">
        <f t="shared" si="3"/>
        <v>206.36</v>
      </c>
      <c r="H85" s="2">
        <v>45626.857630524908</v>
      </c>
      <c r="I85" t="s">
        <v>34</v>
      </c>
      <c r="J85" t="s">
        <v>213</v>
      </c>
    </row>
    <row r="86" spans="1:10" x14ac:dyDescent="0.3">
      <c r="A86" t="s">
        <v>214</v>
      </c>
      <c r="B86" t="s">
        <v>27</v>
      </c>
      <c r="C86" t="s">
        <v>28</v>
      </c>
      <c r="D86">
        <v>1</v>
      </c>
      <c r="E86">
        <v>46.43</v>
      </c>
      <c r="F86" t="str">
        <f t="shared" si="2"/>
        <v>2025-01</v>
      </c>
      <c r="G86">
        <f t="shared" si="3"/>
        <v>46.43</v>
      </c>
      <c r="H86" s="2">
        <v>45688.857630524908</v>
      </c>
      <c r="I86" t="s">
        <v>35</v>
      </c>
      <c r="J86" t="s">
        <v>215</v>
      </c>
    </row>
    <row r="87" spans="1:10" x14ac:dyDescent="0.3">
      <c r="A87" t="s">
        <v>216</v>
      </c>
      <c r="B87" t="s">
        <v>17</v>
      </c>
      <c r="C87" t="s">
        <v>29</v>
      </c>
      <c r="D87">
        <v>2</v>
      </c>
      <c r="E87">
        <v>46.04</v>
      </c>
      <c r="F87" t="str">
        <f t="shared" si="2"/>
        <v>2024-06</v>
      </c>
      <c r="G87">
        <f t="shared" si="3"/>
        <v>92.08</v>
      </c>
      <c r="H87" s="2">
        <v>45463.857630524908</v>
      </c>
      <c r="I87" t="s">
        <v>33</v>
      </c>
      <c r="J87" t="s">
        <v>217</v>
      </c>
    </row>
    <row r="88" spans="1:10" x14ac:dyDescent="0.3">
      <c r="A88" t="s">
        <v>218</v>
      </c>
      <c r="B88" t="s">
        <v>23</v>
      </c>
      <c r="C88" t="s">
        <v>28</v>
      </c>
      <c r="D88">
        <v>5</v>
      </c>
      <c r="E88">
        <v>48.32</v>
      </c>
      <c r="F88" t="str">
        <f t="shared" si="2"/>
        <v>2024-09</v>
      </c>
      <c r="G88">
        <f t="shared" si="3"/>
        <v>241.6</v>
      </c>
      <c r="H88" s="2">
        <v>45557.857630524908</v>
      </c>
      <c r="I88" t="s">
        <v>32</v>
      </c>
      <c r="J88" t="s">
        <v>219</v>
      </c>
    </row>
    <row r="89" spans="1:10" x14ac:dyDescent="0.3">
      <c r="A89" t="s">
        <v>220</v>
      </c>
      <c r="B89" t="s">
        <v>17</v>
      </c>
      <c r="C89" t="s">
        <v>29</v>
      </c>
      <c r="D89">
        <v>4</v>
      </c>
      <c r="E89">
        <v>41.04</v>
      </c>
      <c r="F89" t="str">
        <f t="shared" si="2"/>
        <v>2024-12</v>
      </c>
      <c r="G89">
        <f t="shared" si="3"/>
        <v>164.16</v>
      </c>
      <c r="H89" s="2">
        <v>45632.857630524908</v>
      </c>
      <c r="I89" t="s">
        <v>32</v>
      </c>
      <c r="J89" t="s">
        <v>221</v>
      </c>
    </row>
    <row r="90" spans="1:10" x14ac:dyDescent="0.3">
      <c r="A90" t="s">
        <v>222</v>
      </c>
      <c r="B90" t="s">
        <v>21</v>
      </c>
      <c r="C90" t="s">
        <v>30</v>
      </c>
      <c r="D90">
        <v>4</v>
      </c>
      <c r="E90">
        <v>33.130000000000003</v>
      </c>
      <c r="F90" t="str">
        <f t="shared" si="2"/>
        <v>2024-06</v>
      </c>
      <c r="G90">
        <f t="shared" si="3"/>
        <v>132.52000000000001</v>
      </c>
      <c r="H90" s="2">
        <v>45447.857630524908</v>
      </c>
      <c r="I90" t="s">
        <v>33</v>
      </c>
      <c r="J90" t="s">
        <v>223</v>
      </c>
    </row>
    <row r="91" spans="1:10" x14ac:dyDescent="0.3">
      <c r="A91" t="s">
        <v>224</v>
      </c>
      <c r="B91" t="s">
        <v>27</v>
      </c>
      <c r="C91" t="s">
        <v>28</v>
      </c>
      <c r="D91">
        <v>5</v>
      </c>
      <c r="E91">
        <v>35.450000000000003</v>
      </c>
      <c r="F91" t="str">
        <f t="shared" si="2"/>
        <v>2024-08</v>
      </c>
      <c r="G91">
        <f t="shared" si="3"/>
        <v>177.25</v>
      </c>
      <c r="H91" s="2">
        <v>45533.857630524908</v>
      </c>
      <c r="I91" t="s">
        <v>33</v>
      </c>
      <c r="J91" t="s">
        <v>225</v>
      </c>
    </row>
    <row r="92" spans="1:10" x14ac:dyDescent="0.3">
      <c r="A92" t="s">
        <v>226</v>
      </c>
      <c r="B92" t="s">
        <v>18</v>
      </c>
      <c r="C92" t="s">
        <v>29</v>
      </c>
      <c r="D92">
        <v>4</v>
      </c>
      <c r="E92">
        <v>43.06</v>
      </c>
      <c r="F92" t="str">
        <f t="shared" si="2"/>
        <v>2024-07</v>
      </c>
      <c r="G92">
        <f t="shared" si="3"/>
        <v>172.24</v>
      </c>
      <c r="H92" s="2">
        <v>45488.857630524908</v>
      </c>
      <c r="I92" t="s">
        <v>31</v>
      </c>
      <c r="J92" t="s">
        <v>227</v>
      </c>
    </row>
    <row r="93" spans="1:10" x14ac:dyDescent="0.3">
      <c r="A93" t="s">
        <v>228</v>
      </c>
      <c r="B93" t="s">
        <v>27</v>
      </c>
      <c r="C93" t="s">
        <v>28</v>
      </c>
      <c r="D93">
        <v>5</v>
      </c>
      <c r="E93">
        <v>28.41</v>
      </c>
      <c r="F93" t="str">
        <f t="shared" si="2"/>
        <v>2025-02</v>
      </c>
      <c r="G93">
        <f t="shared" si="3"/>
        <v>142.05000000000001</v>
      </c>
      <c r="H93" s="2">
        <v>45713.857630524908</v>
      </c>
      <c r="I93" t="s">
        <v>32</v>
      </c>
      <c r="J93" t="s">
        <v>229</v>
      </c>
    </row>
    <row r="94" spans="1:10" x14ac:dyDescent="0.3">
      <c r="A94" t="s">
        <v>230</v>
      </c>
      <c r="B94" t="s">
        <v>23</v>
      </c>
      <c r="C94" t="s">
        <v>28</v>
      </c>
      <c r="D94">
        <v>2</v>
      </c>
      <c r="E94">
        <v>30.54</v>
      </c>
      <c r="F94" t="str">
        <f t="shared" si="2"/>
        <v>2024-11</v>
      </c>
      <c r="G94">
        <f t="shared" si="3"/>
        <v>61.08</v>
      </c>
      <c r="H94" s="2">
        <v>45600.857630524908</v>
      </c>
      <c r="I94" t="s">
        <v>33</v>
      </c>
      <c r="J94" t="s">
        <v>231</v>
      </c>
    </row>
    <row r="95" spans="1:10" x14ac:dyDescent="0.3">
      <c r="A95" t="s">
        <v>232</v>
      </c>
      <c r="B95" t="s">
        <v>18</v>
      </c>
      <c r="C95" t="s">
        <v>29</v>
      </c>
      <c r="D95">
        <v>3</v>
      </c>
      <c r="E95">
        <v>15.65</v>
      </c>
      <c r="F95" t="str">
        <f t="shared" si="2"/>
        <v>2024-11</v>
      </c>
      <c r="G95">
        <f t="shared" si="3"/>
        <v>46.95</v>
      </c>
      <c r="H95" s="2">
        <v>45618.857630524908</v>
      </c>
      <c r="I95" t="s">
        <v>34</v>
      </c>
      <c r="J95" t="s">
        <v>233</v>
      </c>
    </row>
    <row r="96" spans="1:10" x14ac:dyDescent="0.3">
      <c r="A96" t="s">
        <v>234</v>
      </c>
      <c r="B96" t="s">
        <v>23</v>
      </c>
      <c r="C96" t="s">
        <v>28</v>
      </c>
      <c r="D96">
        <v>2</v>
      </c>
      <c r="E96">
        <v>11.41</v>
      </c>
      <c r="F96" t="str">
        <f t="shared" si="2"/>
        <v>2024-12</v>
      </c>
      <c r="G96">
        <f t="shared" si="3"/>
        <v>22.82</v>
      </c>
      <c r="H96" s="2">
        <v>45643.857630524908</v>
      </c>
      <c r="I96" t="s">
        <v>35</v>
      </c>
      <c r="J96" t="s">
        <v>235</v>
      </c>
    </row>
    <row r="97" spans="1:10" x14ac:dyDescent="0.3">
      <c r="A97" t="s">
        <v>236</v>
      </c>
      <c r="B97" t="s">
        <v>25</v>
      </c>
      <c r="C97" t="s">
        <v>30</v>
      </c>
      <c r="D97">
        <v>3</v>
      </c>
      <c r="E97">
        <v>53.17</v>
      </c>
      <c r="F97" t="str">
        <f t="shared" si="2"/>
        <v>2024-07</v>
      </c>
      <c r="G97">
        <f t="shared" si="3"/>
        <v>159.51</v>
      </c>
      <c r="H97" s="2">
        <v>45487.857630524908</v>
      </c>
      <c r="I97" t="s">
        <v>32</v>
      </c>
      <c r="J97" t="s">
        <v>237</v>
      </c>
    </row>
    <row r="98" spans="1:10" x14ac:dyDescent="0.3">
      <c r="A98" t="s">
        <v>238</v>
      </c>
      <c r="B98" t="s">
        <v>22</v>
      </c>
      <c r="C98" t="s">
        <v>30</v>
      </c>
      <c r="D98">
        <v>1</v>
      </c>
      <c r="E98">
        <v>26.23</v>
      </c>
      <c r="F98" t="str">
        <f t="shared" si="2"/>
        <v>2024-12</v>
      </c>
      <c r="G98">
        <f t="shared" si="3"/>
        <v>26.23</v>
      </c>
      <c r="H98" s="2">
        <v>45655.857630524908</v>
      </c>
      <c r="I98" t="s">
        <v>34</v>
      </c>
      <c r="J98" t="s">
        <v>239</v>
      </c>
    </row>
    <row r="99" spans="1:10" x14ac:dyDescent="0.3">
      <c r="A99" t="s">
        <v>240</v>
      </c>
      <c r="B99" t="s">
        <v>20</v>
      </c>
      <c r="C99" t="s">
        <v>30</v>
      </c>
      <c r="D99">
        <v>3</v>
      </c>
      <c r="E99">
        <v>18.21</v>
      </c>
      <c r="F99" t="str">
        <f t="shared" si="2"/>
        <v>2024-08</v>
      </c>
      <c r="G99">
        <f t="shared" si="3"/>
        <v>54.63</v>
      </c>
      <c r="H99" s="2">
        <v>45513.857630524908</v>
      </c>
      <c r="I99" t="s">
        <v>31</v>
      </c>
      <c r="J99" t="s">
        <v>241</v>
      </c>
    </row>
    <row r="100" spans="1:10" x14ac:dyDescent="0.3">
      <c r="A100" t="s">
        <v>242</v>
      </c>
      <c r="B100" t="s">
        <v>22</v>
      </c>
      <c r="C100" t="s">
        <v>30</v>
      </c>
      <c r="D100">
        <v>5</v>
      </c>
      <c r="E100">
        <v>52.05</v>
      </c>
      <c r="F100" t="str">
        <f t="shared" si="2"/>
        <v>2025-03</v>
      </c>
      <c r="G100">
        <f t="shared" si="3"/>
        <v>260.25</v>
      </c>
      <c r="H100" s="2">
        <v>45723.857630524908</v>
      </c>
      <c r="I100" t="s">
        <v>33</v>
      </c>
      <c r="J100" t="s">
        <v>243</v>
      </c>
    </row>
    <row r="101" spans="1:10" x14ac:dyDescent="0.3">
      <c r="A101" t="s">
        <v>244</v>
      </c>
      <c r="B101" t="s">
        <v>17</v>
      </c>
      <c r="C101" t="s">
        <v>29</v>
      </c>
      <c r="D101">
        <v>1</v>
      </c>
      <c r="E101">
        <v>29.23</v>
      </c>
      <c r="F101" t="str">
        <f t="shared" si="2"/>
        <v>2024-08</v>
      </c>
      <c r="G101">
        <f t="shared" si="3"/>
        <v>29.23</v>
      </c>
      <c r="H101" s="2">
        <v>45533.857630524908</v>
      </c>
      <c r="I101" t="s">
        <v>33</v>
      </c>
      <c r="J101" t="s">
        <v>245</v>
      </c>
    </row>
    <row r="102" spans="1:10" x14ac:dyDescent="0.3">
      <c r="A102" t="s">
        <v>246</v>
      </c>
      <c r="B102" t="s">
        <v>20</v>
      </c>
      <c r="C102" t="s">
        <v>30</v>
      </c>
      <c r="D102">
        <v>5</v>
      </c>
      <c r="E102">
        <v>29.45</v>
      </c>
      <c r="F102" t="str">
        <f t="shared" si="2"/>
        <v>2024-10</v>
      </c>
      <c r="G102">
        <f t="shared" si="3"/>
        <v>147.25</v>
      </c>
      <c r="H102" s="2">
        <v>45596.857630524908</v>
      </c>
      <c r="I102" t="s">
        <v>33</v>
      </c>
      <c r="J102" t="s">
        <v>247</v>
      </c>
    </row>
    <row r="103" spans="1:10" x14ac:dyDescent="0.3">
      <c r="A103" t="s">
        <v>248</v>
      </c>
      <c r="B103" t="s">
        <v>17</v>
      </c>
      <c r="C103" t="s">
        <v>29</v>
      </c>
      <c r="D103">
        <v>1</v>
      </c>
      <c r="E103">
        <v>26.46</v>
      </c>
      <c r="F103" t="str">
        <f t="shared" si="2"/>
        <v>2024-12</v>
      </c>
      <c r="G103">
        <f t="shared" si="3"/>
        <v>26.46</v>
      </c>
      <c r="H103" s="2">
        <v>45636.857630524908</v>
      </c>
      <c r="I103" t="s">
        <v>31</v>
      </c>
      <c r="J103" t="s">
        <v>249</v>
      </c>
    </row>
    <row r="104" spans="1:10" x14ac:dyDescent="0.3">
      <c r="A104" t="s">
        <v>250</v>
      </c>
      <c r="B104" t="s">
        <v>22</v>
      </c>
      <c r="C104" t="s">
        <v>30</v>
      </c>
      <c r="D104">
        <v>3</v>
      </c>
      <c r="E104">
        <v>16.52</v>
      </c>
      <c r="F104" t="str">
        <f t="shared" si="2"/>
        <v>2025-01</v>
      </c>
      <c r="G104">
        <f t="shared" si="3"/>
        <v>49.56</v>
      </c>
      <c r="H104" s="2">
        <v>45664.857630524908</v>
      </c>
      <c r="I104" t="s">
        <v>33</v>
      </c>
      <c r="J104" t="s">
        <v>251</v>
      </c>
    </row>
    <row r="105" spans="1:10" x14ac:dyDescent="0.3">
      <c r="A105" t="s">
        <v>252</v>
      </c>
      <c r="B105" t="s">
        <v>27</v>
      </c>
      <c r="C105" t="s">
        <v>28</v>
      </c>
      <c r="D105">
        <v>5</v>
      </c>
      <c r="E105">
        <v>12.07</v>
      </c>
      <c r="F105" t="str">
        <f t="shared" si="2"/>
        <v>2024-09</v>
      </c>
      <c r="G105">
        <f t="shared" si="3"/>
        <v>60.35</v>
      </c>
      <c r="H105" s="2">
        <v>45556.857630524908</v>
      </c>
      <c r="I105" t="s">
        <v>31</v>
      </c>
      <c r="J105" t="s">
        <v>253</v>
      </c>
    </row>
    <row r="106" spans="1:10" x14ac:dyDescent="0.3">
      <c r="A106" t="s">
        <v>254</v>
      </c>
      <c r="B106" t="s">
        <v>20</v>
      </c>
      <c r="C106" t="s">
        <v>30</v>
      </c>
      <c r="D106">
        <v>3</v>
      </c>
      <c r="E106">
        <v>51.54</v>
      </c>
      <c r="F106" t="str">
        <f t="shared" si="2"/>
        <v>2025-01</v>
      </c>
      <c r="G106">
        <f t="shared" si="3"/>
        <v>154.62</v>
      </c>
      <c r="H106" s="2">
        <v>45676.857630524908</v>
      </c>
      <c r="I106" t="s">
        <v>35</v>
      </c>
      <c r="J106" t="s">
        <v>255</v>
      </c>
    </row>
    <row r="107" spans="1:10" x14ac:dyDescent="0.3">
      <c r="A107" t="s">
        <v>256</v>
      </c>
      <c r="B107" t="s">
        <v>17</v>
      </c>
      <c r="C107" t="s">
        <v>29</v>
      </c>
      <c r="D107">
        <v>1</v>
      </c>
      <c r="E107">
        <v>17.36</v>
      </c>
      <c r="F107" t="str">
        <f t="shared" si="2"/>
        <v>2024-07</v>
      </c>
      <c r="G107">
        <f t="shared" si="3"/>
        <v>17.36</v>
      </c>
      <c r="H107" s="2">
        <v>45476.857630524908</v>
      </c>
      <c r="I107" t="s">
        <v>33</v>
      </c>
      <c r="J107" t="s">
        <v>257</v>
      </c>
    </row>
    <row r="108" spans="1:10" x14ac:dyDescent="0.3">
      <c r="A108" t="s">
        <v>258</v>
      </c>
      <c r="B108" t="s">
        <v>16</v>
      </c>
      <c r="C108" t="s">
        <v>29</v>
      </c>
      <c r="D108">
        <v>3</v>
      </c>
      <c r="E108">
        <v>36.81</v>
      </c>
      <c r="F108" t="str">
        <f t="shared" si="2"/>
        <v>2024-11</v>
      </c>
      <c r="G108">
        <f t="shared" si="3"/>
        <v>110.43</v>
      </c>
      <c r="H108" s="2">
        <v>45602.857630524908</v>
      </c>
      <c r="I108" t="s">
        <v>32</v>
      </c>
      <c r="J108" t="s">
        <v>259</v>
      </c>
    </row>
    <row r="109" spans="1:10" x14ac:dyDescent="0.3">
      <c r="A109" t="s">
        <v>260</v>
      </c>
      <c r="B109" t="s">
        <v>23</v>
      </c>
      <c r="C109" t="s">
        <v>28</v>
      </c>
      <c r="D109">
        <v>2</v>
      </c>
      <c r="E109">
        <v>12.15</v>
      </c>
      <c r="F109" t="str">
        <f t="shared" si="2"/>
        <v>2024-09</v>
      </c>
      <c r="G109">
        <f t="shared" si="3"/>
        <v>24.3</v>
      </c>
      <c r="H109" s="2">
        <v>45538.857630524908</v>
      </c>
      <c r="I109" t="s">
        <v>31</v>
      </c>
      <c r="J109" t="s">
        <v>261</v>
      </c>
    </row>
    <row r="110" spans="1:10" x14ac:dyDescent="0.3">
      <c r="A110" t="s">
        <v>262</v>
      </c>
      <c r="B110" t="s">
        <v>16</v>
      </c>
      <c r="C110" t="s">
        <v>29</v>
      </c>
      <c r="D110">
        <v>1</v>
      </c>
      <c r="E110">
        <v>15.57</v>
      </c>
      <c r="F110" t="str">
        <f t="shared" si="2"/>
        <v>2024-09</v>
      </c>
      <c r="G110">
        <f t="shared" si="3"/>
        <v>15.57</v>
      </c>
      <c r="H110" s="2">
        <v>45546.857630524908</v>
      </c>
      <c r="I110" t="s">
        <v>33</v>
      </c>
      <c r="J110" t="s">
        <v>263</v>
      </c>
    </row>
    <row r="111" spans="1:10" x14ac:dyDescent="0.3">
      <c r="A111" t="s">
        <v>264</v>
      </c>
      <c r="B111" t="s">
        <v>16</v>
      </c>
      <c r="C111" t="s">
        <v>29</v>
      </c>
      <c r="D111">
        <v>3</v>
      </c>
      <c r="E111">
        <v>15.97</v>
      </c>
      <c r="F111" t="str">
        <f t="shared" si="2"/>
        <v>2024-11</v>
      </c>
      <c r="G111">
        <f t="shared" si="3"/>
        <v>47.910000000000004</v>
      </c>
      <c r="H111" s="2">
        <v>45605.857630524908</v>
      </c>
      <c r="I111" t="s">
        <v>34</v>
      </c>
      <c r="J111" t="s">
        <v>265</v>
      </c>
    </row>
    <row r="112" spans="1:10" x14ac:dyDescent="0.3">
      <c r="A112" t="s">
        <v>266</v>
      </c>
      <c r="B112" t="s">
        <v>16</v>
      </c>
      <c r="C112" t="s">
        <v>29</v>
      </c>
      <c r="D112">
        <v>5</v>
      </c>
      <c r="E112">
        <v>17.39</v>
      </c>
      <c r="F112" t="str">
        <f t="shared" si="2"/>
        <v>2024-11</v>
      </c>
      <c r="G112">
        <f t="shared" si="3"/>
        <v>86.95</v>
      </c>
      <c r="H112" s="2">
        <v>45607.857630524908</v>
      </c>
      <c r="I112" t="s">
        <v>34</v>
      </c>
      <c r="J112" t="s">
        <v>267</v>
      </c>
    </row>
    <row r="113" spans="1:10" x14ac:dyDescent="0.3">
      <c r="A113" t="s">
        <v>268</v>
      </c>
      <c r="B113" t="s">
        <v>21</v>
      </c>
      <c r="C113" t="s">
        <v>30</v>
      </c>
      <c r="D113">
        <v>2</v>
      </c>
      <c r="E113">
        <v>39.630000000000003</v>
      </c>
      <c r="F113" t="str">
        <f t="shared" si="2"/>
        <v>2025-01</v>
      </c>
      <c r="G113">
        <f t="shared" si="3"/>
        <v>79.260000000000005</v>
      </c>
      <c r="H113" s="2">
        <v>45684.857630524908</v>
      </c>
      <c r="I113" t="s">
        <v>32</v>
      </c>
      <c r="J113" t="s">
        <v>269</v>
      </c>
    </row>
    <row r="114" spans="1:10" x14ac:dyDescent="0.3">
      <c r="A114" t="s">
        <v>270</v>
      </c>
      <c r="B114" t="s">
        <v>20</v>
      </c>
      <c r="C114" t="s">
        <v>30</v>
      </c>
      <c r="D114">
        <v>4</v>
      </c>
      <c r="E114">
        <v>43.28</v>
      </c>
      <c r="F114" t="str">
        <f t="shared" si="2"/>
        <v>2024-11</v>
      </c>
      <c r="G114">
        <f t="shared" si="3"/>
        <v>173.12</v>
      </c>
      <c r="H114" s="2">
        <v>45626.857630524908</v>
      </c>
      <c r="I114" t="s">
        <v>32</v>
      </c>
      <c r="J114" t="s">
        <v>271</v>
      </c>
    </row>
    <row r="115" spans="1:10" x14ac:dyDescent="0.3">
      <c r="A115" t="s">
        <v>272</v>
      </c>
      <c r="B115" t="s">
        <v>25</v>
      </c>
      <c r="C115" t="s">
        <v>30</v>
      </c>
      <c r="D115">
        <v>2</v>
      </c>
      <c r="E115">
        <v>23.02</v>
      </c>
      <c r="F115" t="str">
        <f t="shared" si="2"/>
        <v>2025-02</v>
      </c>
      <c r="G115">
        <f t="shared" si="3"/>
        <v>46.04</v>
      </c>
      <c r="H115" s="2">
        <v>45709.857630524908</v>
      </c>
      <c r="I115" t="s">
        <v>35</v>
      </c>
      <c r="J115" t="s">
        <v>273</v>
      </c>
    </row>
    <row r="116" spans="1:10" x14ac:dyDescent="0.3">
      <c r="A116" t="s">
        <v>274</v>
      </c>
      <c r="B116" t="s">
        <v>23</v>
      </c>
      <c r="C116" t="s">
        <v>28</v>
      </c>
      <c r="D116">
        <v>4</v>
      </c>
      <c r="E116">
        <v>38.61</v>
      </c>
      <c r="F116" t="str">
        <f t="shared" si="2"/>
        <v>2024-07</v>
      </c>
      <c r="G116">
        <f t="shared" si="3"/>
        <v>154.44</v>
      </c>
      <c r="H116" s="2">
        <v>45491.857630524908</v>
      </c>
      <c r="I116" t="s">
        <v>34</v>
      </c>
      <c r="J116" t="s">
        <v>275</v>
      </c>
    </row>
    <row r="117" spans="1:10" x14ac:dyDescent="0.3">
      <c r="A117" t="s">
        <v>276</v>
      </c>
      <c r="B117" t="s">
        <v>16</v>
      </c>
      <c r="C117" t="s">
        <v>29</v>
      </c>
      <c r="D117">
        <v>4</v>
      </c>
      <c r="E117">
        <v>29.43</v>
      </c>
      <c r="F117" t="str">
        <f t="shared" si="2"/>
        <v>2024-07</v>
      </c>
      <c r="G117">
        <f t="shared" si="3"/>
        <v>117.72</v>
      </c>
      <c r="H117" s="2">
        <v>45493.857630524908</v>
      </c>
      <c r="I117" t="s">
        <v>35</v>
      </c>
      <c r="J117" t="s">
        <v>277</v>
      </c>
    </row>
    <row r="118" spans="1:10" x14ac:dyDescent="0.3">
      <c r="A118" t="s">
        <v>278</v>
      </c>
      <c r="B118" t="s">
        <v>21</v>
      </c>
      <c r="C118" t="s">
        <v>30</v>
      </c>
      <c r="D118">
        <v>1</v>
      </c>
      <c r="E118">
        <v>35.270000000000003</v>
      </c>
      <c r="F118" t="str">
        <f t="shared" si="2"/>
        <v>2024-04</v>
      </c>
      <c r="G118">
        <f t="shared" si="3"/>
        <v>35.270000000000003</v>
      </c>
      <c r="H118" s="2">
        <v>45411.857630524908</v>
      </c>
      <c r="I118" t="s">
        <v>31</v>
      </c>
      <c r="J118" t="s">
        <v>279</v>
      </c>
    </row>
    <row r="119" spans="1:10" x14ac:dyDescent="0.3">
      <c r="A119" t="s">
        <v>280</v>
      </c>
      <c r="B119" t="s">
        <v>19</v>
      </c>
      <c r="C119" t="s">
        <v>28</v>
      </c>
      <c r="D119">
        <v>2</v>
      </c>
      <c r="E119">
        <v>56.43</v>
      </c>
      <c r="F119" t="str">
        <f t="shared" si="2"/>
        <v>2025-03</v>
      </c>
      <c r="G119">
        <f t="shared" si="3"/>
        <v>112.86</v>
      </c>
      <c r="H119" s="2">
        <v>45720.857630524908</v>
      </c>
      <c r="I119" t="s">
        <v>33</v>
      </c>
      <c r="J119" t="s">
        <v>281</v>
      </c>
    </row>
    <row r="120" spans="1:10" x14ac:dyDescent="0.3">
      <c r="A120" t="s">
        <v>282</v>
      </c>
      <c r="B120" t="s">
        <v>22</v>
      </c>
      <c r="C120" t="s">
        <v>30</v>
      </c>
      <c r="D120">
        <v>2</v>
      </c>
      <c r="E120">
        <v>51.96</v>
      </c>
      <c r="F120" t="str">
        <f t="shared" si="2"/>
        <v>2025-01</v>
      </c>
      <c r="G120">
        <f t="shared" si="3"/>
        <v>103.92</v>
      </c>
      <c r="H120" s="2">
        <v>45685.857630524908</v>
      </c>
      <c r="I120" t="s">
        <v>35</v>
      </c>
      <c r="J120" t="s">
        <v>283</v>
      </c>
    </row>
    <row r="121" spans="1:10" x14ac:dyDescent="0.3">
      <c r="A121" t="s">
        <v>284</v>
      </c>
      <c r="B121" t="s">
        <v>27</v>
      </c>
      <c r="C121" t="s">
        <v>28</v>
      </c>
      <c r="D121">
        <v>5</v>
      </c>
      <c r="E121">
        <v>10.43</v>
      </c>
      <c r="F121" t="str">
        <f t="shared" si="2"/>
        <v>2024-06</v>
      </c>
      <c r="G121">
        <f t="shared" si="3"/>
        <v>52.15</v>
      </c>
      <c r="H121" s="2">
        <v>45455.857630524908</v>
      </c>
      <c r="I121" t="s">
        <v>31</v>
      </c>
      <c r="J121" t="s">
        <v>285</v>
      </c>
    </row>
    <row r="122" spans="1:10" x14ac:dyDescent="0.3">
      <c r="A122" t="s">
        <v>286</v>
      </c>
      <c r="B122" t="s">
        <v>24</v>
      </c>
      <c r="C122" t="s">
        <v>28</v>
      </c>
      <c r="D122">
        <v>2</v>
      </c>
      <c r="E122">
        <v>15.1</v>
      </c>
      <c r="F122" t="str">
        <f t="shared" si="2"/>
        <v>2024-08</v>
      </c>
      <c r="G122">
        <f t="shared" si="3"/>
        <v>30.2</v>
      </c>
      <c r="H122" s="2">
        <v>45530.857630524908</v>
      </c>
      <c r="I122" t="s">
        <v>33</v>
      </c>
      <c r="J122" t="s">
        <v>287</v>
      </c>
    </row>
    <row r="123" spans="1:10" x14ac:dyDescent="0.3">
      <c r="A123" t="s">
        <v>288</v>
      </c>
      <c r="B123" t="s">
        <v>19</v>
      </c>
      <c r="C123" t="s">
        <v>28</v>
      </c>
      <c r="D123">
        <v>2</v>
      </c>
      <c r="E123">
        <v>42.74</v>
      </c>
      <c r="F123" t="str">
        <f t="shared" si="2"/>
        <v>2024-09</v>
      </c>
      <c r="G123">
        <f t="shared" si="3"/>
        <v>85.48</v>
      </c>
      <c r="H123" s="2">
        <v>45560.857630524908</v>
      </c>
      <c r="I123" t="s">
        <v>32</v>
      </c>
      <c r="J123" t="s">
        <v>289</v>
      </c>
    </row>
    <row r="124" spans="1:10" x14ac:dyDescent="0.3">
      <c r="A124" t="s">
        <v>290</v>
      </c>
      <c r="B124" t="s">
        <v>17</v>
      </c>
      <c r="C124" t="s">
        <v>29</v>
      </c>
      <c r="D124">
        <v>2</v>
      </c>
      <c r="E124">
        <v>32.4</v>
      </c>
      <c r="F124" t="str">
        <f t="shared" si="2"/>
        <v>2024-04</v>
      </c>
      <c r="G124">
        <f t="shared" si="3"/>
        <v>64.8</v>
      </c>
      <c r="H124" s="2">
        <v>45404.857630524908</v>
      </c>
      <c r="I124" t="s">
        <v>35</v>
      </c>
      <c r="J124" t="s">
        <v>291</v>
      </c>
    </row>
    <row r="125" spans="1:10" x14ac:dyDescent="0.3">
      <c r="A125" t="s">
        <v>292</v>
      </c>
      <c r="B125" t="s">
        <v>24</v>
      </c>
      <c r="C125" t="s">
        <v>28</v>
      </c>
      <c r="D125">
        <v>2</v>
      </c>
      <c r="E125">
        <v>14.67</v>
      </c>
      <c r="F125" t="str">
        <f t="shared" si="2"/>
        <v>2025-02</v>
      </c>
      <c r="G125">
        <f t="shared" si="3"/>
        <v>29.34</v>
      </c>
      <c r="H125" s="2">
        <v>45711.857630524908</v>
      </c>
      <c r="I125" t="s">
        <v>32</v>
      </c>
      <c r="J125" t="s">
        <v>293</v>
      </c>
    </row>
    <row r="126" spans="1:10" x14ac:dyDescent="0.3">
      <c r="A126" t="s">
        <v>294</v>
      </c>
      <c r="B126" t="s">
        <v>19</v>
      </c>
      <c r="C126" t="s">
        <v>28</v>
      </c>
      <c r="D126">
        <v>3</v>
      </c>
      <c r="E126">
        <v>59.1</v>
      </c>
      <c r="F126" t="str">
        <f t="shared" si="2"/>
        <v>2024-09</v>
      </c>
      <c r="G126">
        <f t="shared" si="3"/>
        <v>177.3</v>
      </c>
      <c r="H126" s="2">
        <v>45547.857630524908</v>
      </c>
      <c r="I126" t="s">
        <v>33</v>
      </c>
      <c r="J126" t="s">
        <v>295</v>
      </c>
    </row>
    <row r="127" spans="1:10" x14ac:dyDescent="0.3">
      <c r="A127" t="s">
        <v>296</v>
      </c>
      <c r="B127" t="s">
        <v>17</v>
      </c>
      <c r="C127" t="s">
        <v>29</v>
      </c>
      <c r="D127">
        <v>3</v>
      </c>
      <c r="E127">
        <v>42.09</v>
      </c>
      <c r="F127" t="str">
        <f t="shared" si="2"/>
        <v>2024-09</v>
      </c>
      <c r="G127">
        <f t="shared" si="3"/>
        <v>126.27000000000001</v>
      </c>
      <c r="H127" s="2">
        <v>45537.857630524908</v>
      </c>
      <c r="I127" t="s">
        <v>32</v>
      </c>
      <c r="J127" t="s">
        <v>297</v>
      </c>
    </row>
    <row r="128" spans="1:10" x14ac:dyDescent="0.3">
      <c r="A128" t="s">
        <v>298</v>
      </c>
      <c r="B128" t="s">
        <v>17</v>
      </c>
      <c r="C128" t="s">
        <v>29</v>
      </c>
      <c r="D128">
        <v>4</v>
      </c>
      <c r="E128">
        <v>46.89</v>
      </c>
      <c r="F128" t="str">
        <f t="shared" si="2"/>
        <v>2024-06</v>
      </c>
      <c r="G128">
        <f t="shared" si="3"/>
        <v>187.56</v>
      </c>
      <c r="H128" s="2">
        <v>45473.857630524908</v>
      </c>
      <c r="I128" t="s">
        <v>33</v>
      </c>
      <c r="J128" t="s">
        <v>299</v>
      </c>
    </row>
    <row r="129" spans="1:10" x14ac:dyDescent="0.3">
      <c r="A129" t="s">
        <v>300</v>
      </c>
      <c r="B129" t="s">
        <v>22</v>
      </c>
      <c r="C129" t="s">
        <v>30</v>
      </c>
      <c r="D129">
        <v>3</v>
      </c>
      <c r="E129">
        <v>50.89</v>
      </c>
      <c r="F129" t="str">
        <f t="shared" si="2"/>
        <v>2025-01</v>
      </c>
      <c r="G129">
        <f t="shared" si="3"/>
        <v>152.67000000000002</v>
      </c>
      <c r="H129" s="2">
        <v>45685.857630524908</v>
      </c>
      <c r="I129" t="s">
        <v>33</v>
      </c>
      <c r="J129" t="s">
        <v>301</v>
      </c>
    </row>
    <row r="130" spans="1:10" x14ac:dyDescent="0.3">
      <c r="A130" t="s">
        <v>302</v>
      </c>
      <c r="B130" t="s">
        <v>22</v>
      </c>
      <c r="C130" t="s">
        <v>30</v>
      </c>
      <c r="D130">
        <v>2</v>
      </c>
      <c r="E130">
        <v>52.86</v>
      </c>
      <c r="F130" t="str">
        <f t="shared" si="2"/>
        <v>2024-09</v>
      </c>
      <c r="G130">
        <f t="shared" si="3"/>
        <v>105.72</v>
      </c>
      <c r="H130" s="2">
        <v>45556.857630524908</v>
      </c>
      <c r="I130" t="s">
        <v>32</v>
      </c>
      <c r="J130" t="s">
        <v>303</v>
      </c>
    </row>
    <row r="131" spans="1:10" x14ac:dyDescent="0.3">
      <c r="A131" t="s">
        <v>304</v>
      </c>
      <c r="B131" t="s">
        <v>20</v>
      </c>
      <c r="C131" t="s">
        <v>30</v>
      </c>
      <c r="D131">
        <v>3</v>
      </c>
      <c r="E131">
        <v>45.95</v>
      </c>
      <c r="F131" t="str">
        <f t="shared" ref="F131:F194" si="4">TEXT(H131, "yyyy-mm")</f>
        <v>2024-09</v>
      </c>
      <c r="G131">
        <f t="shared" ref="G131:G194" si="5">D131*E131</f>
        <v>137.85000000000002</v>
      </c>
      <c r="H131" s="2">
        <v>45552.857630524908</v>
      </c>
      <c r="I131" t="s">
        <v>33</v>
      </c>
      <c r="J131" t="s">
        <v>305</v>
      </c>
    </row>
    <row r="132" spans="1:10" x14ac:dyDescent="0.3">
      <c r="A132" t="s">
        <v>306</v>
      </c>
      <c r="B132" t="s">
        <v>16</v>
      </c>
      <c r="C132" t="s">
        <v>29</v>
      </c>
      <c r="D132">
        <v>1</v>
      </c>
      <c r="E132">
        <v>35.51</v>
      </c>
      <c r="F132" t="str">
        <f t="shared" si="4"/>
        <v>2024-12</v>
      </c>
      <c r="G132">
        <f t="shared" si="5"/>
        <v>35.51</v>
      </c>
      <c r="H132" s="2">
        <v>45633.857630524908</v>
      </c>
      <c r="I132" t="s">
        <v>35</v>
      </c>
      <c r="J132" t="s">
        <v>307</v>
      </c>
    </row>
    <row r="133" spans="1:10" x14ac:dyDescent="0.3">
      <c r="A133" t="s">
        <v>308</v>
      </c>
      <c r="B133" t="s">
        <v>16</v>
      </c>
      <c r="C133" t="s">
        <v>29</v>
      </c>
      <c r="D133">
        <v>2</v>
      </c>
      <c r="E133">
        <v>58.54</v>
      </c>
      <c r="F133" t="str">
        <f t="shared" si="4"/>
        <v>2024-11</v>
      </c>
      <c r="G133">
        <f t="shared" si="5"/>
        <v>117.08</v>
      </c>
      <c r="H133" s="2">
        <v>45607.857630524908</v>
      </c>
      <c r="I133" t="s">
        <v>31</v>
      </c>
      <c r="J133" t="s">
        <v>309</v>
      </c>
    </row>
    <row r="134" spans="1:10" x14ac:dyDescent="0.3">
      <c r="A134" t="s">
        <v>310</v>
      </c>
      <c r="B134" t="s">
        <v>17</v>
      </c>
      <c r="C134" t="s">
        <v>29</v>
      </c>
      <c r="D134">
        <v>4</v>
      </c>
      <c r="E134">
        <v>55.07</v>
      </c>
      <c r="F134" t="str">
        <f t="shared" si="4"/>
        <v>2025-03</v>
      </c>
      <c r="G134">
        <f t="shared" si="5"/>
        <v>220.28</v>
      </c>
      <c r="H134" s="2">
        <v>45739.857630524908</v>
      </c>
      <c r="I134" t="s">
        <v>34</v>
      </c>
      <c r="J134" t="s">
        <v>311</v>
      </c>
    </row>
    <row r="135" spans="1:10" x14ac:dyDescent="0.3">
      <c r="A135" t="s">
        <v>312</v>
      </c>
      <c r="B135" t="s">
        <v>26</v>
      </c>
      <c r="C135" t="s">
        <v>28</v>
      </c>
      <c r="D135">
        <v>4</v>
      </c>
      <c r="E135">
        <v>30.33</v>
      </c>
      <c r="F135" t="str">
        <f t="shared" si="4"/>
        <v>2024-05</v>
      </c>
      <c r="G135">
        <f t="shared" si="5"/>
        <v>121.32</v>
      </c>
      <c r="H135" s="2">
        <v>45417.857630524908</v>
      </c>
      <c r="I135" t="s">
        <v>35</v>
      </c>
      <c r="J135" t="s">
        <v>313</v>
      </c>
    </row>
    <row r="136" spans="1:10" x14ac:dyDescent="0.3">
      <c r="A136" t="s">
        <v>314</v>
      </c>
      <c r="B136" t="s">
        <v>23</v>
      </c>
      <c r="C136" t="s">
        <v>28</v>
      </c>
      <c r="D136">
        <v>1</v>
      </c>
      <c r="E136">
        <v>57.71</v>
      </c>
      <c r="F136" t="str">
        <f t="shared" si="4"/>
        <v>2024-06</v>
      </c>
      <c r="G136">
        <f t="shared" si="5"/>
        <v>57.71</v>
      </c>
      <c r="H136" s="2">
        <v>45450.857630524908</v>
      </c>
      <c r="I136" t="s">
        <v>34</v>
      </c>
      <c r="J136" t="s">
        <v>315</v>
      </c>
    </row>
    <row r="137" spans="1:10" x14ac:dyDescent="0.3">
      <c r="A137" t="s">
        <v>316</v>
      </c>
      <c r="B137" t="s">
        <v>16</v>
      </c>
      <c r="C137" t="s">
        <v>29</v>
      </c>
      <c r="D137">
        <v>4</v>
      </c>
      <c r="E137">
        <v>10.95</v>
      </c>
      <c r="F137" t="str">
        <f t="shared" si="4"/>
        <v>2025-02</v>
      </c>
      <c r="G137">
        <f t="shared" si="5"/>
        <v>43.8</v>
      </c>
      <c r="H137" s="2">
        <v>45694.857630524908</v>
      </c>
      <c r="I137" t="s">
        <v>31</v>
      </c>
      <c r="J137" t="s">
        <v>317</v>
      </c>
    </row>
    <row r="138" spans="1:10" x14ac:dyDescent="0.3">
      <c r="A138" t="s">
        <v>318</v>
      </c>
      <c r="B138" t="s">
        <v>17</v>
      </c>
      <c r="C138" t="s">
        <v>29</v>
      </c>
      <c r="D138">
        <v>3</v>
      </c>
      <c r="E138">
        <v>41.41</v>
      </c>
      <c r="F138" t="str">
        <f t="shared" si="4"/>
        <v>2024-08</v>
      </c>
      <c r="G138">
        <f t="shared" si="5"/>
        <v>124.22999999999999</v>
      </c>
      <c r="H138" s="2">
        <v>45532.857630524908</v>
      </c>
      <c r="I138" t="s">
        <v>34</v>
      </c>
      <c r="J138" t="s">
        <v>319</v>
      </c>
    </row>
    <row r="139" spans="1:10" x14ac:dyDescent="0.3">
      <c r="A139" t="s">
        <v>320</v>
      </c>
      <c r="B139" t="s">
        <v>24</v>
      </c>
      <c r="C139" t="s">
        <v>28</v>
      </c>
      <c r="D139">
        <v>2</v>
      </c>
      <c r="E139">
        <v>38.03</v>
      </c>
      <c r="F139" t="str">
        <f t="shared" si="4"/>
        <v>2024-12</v>
      </c>
      <c r="G139">
        <f t="shared" si="5"/>
        <v>76.06</v>
      </c>
      <c r="H139" s="2">
        <v>45645.857630524908</v>
      </c>
      <c r="I139" t="s">
        <v>31</v>
      </c>
      <c r="J139" t="s">
        <v>321</v>
      </c>
    </row>
    <row r="140" spans="1:10" x14ac:dyDescent="0.3">
      <c r="A140" t="s">
        <v>322</v>
      </c>
      <c r="B140" t="s">
        <v>20</v>
      </c>
      <c r="C140" t="s">
        <v>30</v>
      </c>
      <c r="D140">
        <v>4</v>
      </c>
      <c r="E140">
        <v>56.68</v>
      </c>
      <c r="F140" t="str">
        <f t="shared" si="4"/>
        <v>2025-03</v>
      </c>
      <c r="G140">
        <f t="shared" si="5"/>
        <v>226.72</v>
      </c>
      <c r="H140" s="2">
        <v>45737.857630524908</v>
      </c>
      <c r="I140" t="s">
        <v>35</v>
      </c>
      <c r="J140" t="s">
        <v>323</v>
      </c>
    </row>
    <row r="141" spans="1:10" x14ac:dyDescent="0.3">
      <c r="A141" t="s">
        <v>324</v>
      </c>
      <c r="B141" t="s">
        <v>19</v>
      </c>
      <c r="C141" t="s">
        <v>28</v>
      </c>
      <c r="D141">
        <v>5</v>
      </c>
      <c r="E141">
        <v>53.95</v>
      </c>
      <c r="F141" t="str">
        <f t="shared" si="4"/>
        <v>2024-05</v>
      </c>
      <c r="G141">
        <f t="shared" si="5"/>
        <v>269.75</v>
      </c>
      <c r="H141" s="2">
        <v>45438.857630524908</v>
      </c>
      <c r="I141" t="s">
        <v>32</v>
      </c>
      <c r="J141" t="s">
        <v>325</v>
      </c>
    </row>
    <row r="142" spans="1:10" x14ac:dyDescent="0.3">
      <c r="A142" t="s">
        <v>326</v>
      </c>
      <c r="B142" t="s">
        <v>23</v>
      </c>
      <c r="C142" t="s">
        <v>28</v>
      </c>
      <c r="D142">
        <v>2</v>
      </c>
      <c r="E142">
        <v>28.32</v>
      </c>
      <c r="F142" t="str">
        <f t="shared" si="4"/>
        <v>2025-03</v>
      </c>
      <c r="G142">
        <f t="shared" si="5"/>
        <v>56.64</v>
      </c>
      <c r="H142" s="2">
        <v>45733.857630524908</v>
      </c>
      <c r="I142" t="s">
        <v>35</v>
      </c>
      <c r="J142" t="s">
        <v>327</v>
      </c>
    </row>
    <row r="143" spans="1:10" x14ac:dyDescent="0.3">
      <c r="A143" t="s">
        <v>328</v>
      </c>
      <c r="B143" t="s">
        <v>23</v>
      </c>
      <c r="C143" t="s">
        <v>28</v>
      </c>
      <c r="D143">
        <v>5</v>
      </c>
      <c r="E143">
        <v>35.71</v>
      </c>
      <c r="F143" t="str">
        <f t="shared" si="4"/>
        <v>2024-06</v>
      </c>
      <c r="G143">
        <f t="shared" si="5"/>
        <v>178.55</v>
      </c>
      <c r="H143" s="2">
        <v>45471.857630524908</v>
      </c>
      <c r="I143" t="s">
        <v>33</v>
      </c>
      <c r="J143" t="s">
        <v>329</v>
      </c>
    </row>
    <row r="144" spans="1:10" x14ac:dyDescent="0.3">
      <c r="A144" t="s">
        <v>330</v>
      </c>
      <c r="B144" t="s">
        <v>20</v>
      </c>
      <c r="C144" t="s">
        <v>30</v>
      </c>
      <c r="D144">
        <v>3</v>
      </c>
      <c r="E144">
        <v>26.36</v>
      </c>
      <c r="F144" t="str">
        <f t="shared" si="4"/>
        <v>2024-08</v>
      </c>
      <c r="G144">
        <f t="shared" si="5"/>
        <v>79.08</v>
      </c>
      <c r="H144" s="2">
        <v>45519.857630524908</v>
      </c>
      <c r="I144" t="s">
        <v>33</v>
      </c>
      <c r="J144" t="s">
        <v>331</v>
      </c>
    </row>
    <row r="145" spans="1:10" x14ac:dyDescent="0.3">
      <c r="A145" t="s">
        <v>332</v>
      </c>
      <c r="B145" t="s">
        <v>24</v>
      </c>
      <c r="C145" t="s">
        <v>28</v>
      </c>
      <c r="D145">
        <v>1</v>
      </c>
      <c r="E145">
        <v>30.18</v>
      </c>
      <c r="F145" t="str">
        <f t="shared" si="4"/>
        <v>2024-07</v>
      </c>
      <c r="G145">
        <f t="shared" si="5"/>
        <v>30.18</v>
      </c>
      <c r="H145" s="2">
        <v>45500.857630524908</v>
      </c>
      <c r="I145" t="s">
        <v>34</v>
      </c>
      <c r="J145" t="s">
        <v>333</v>
      </c>
    </row>
    <row r="146" spans="1:10" x14ac:dyDescent="0.3">
      <c r="A146" t="s">
        <v>334</v>
      </c>
      <c r="B146" t="s">
        <v>20</v>
      </c>
      <c r="C146" t="s">
        <v>30</v>
      </c>
      <c r="D146">
        <v>4</v>
      </c>
      <c r="E146">
        <v>17.95</v>
      </c>
      <c r="F146" t="str">
        <f t="shared" si="4"/>
        <v>2025-03</v>
      </c>
      <c r="G146">
        <f t="shared" si="5"/>
        <v>71.8</v>
      </c>
      <c r="H146" s="2">
        <v>45727.857630524908</v>
      </c>
      <c r="I146" t="s">
        <v>35</v>
      </c>
      <c r="J146" t="s">
        <v>335</v>
      </c>
    </row>
    <row r="147" spans="1:10" x14ac:dyDescent="0.3">
      <c r="A147" t="s">
        <v>336</v>
      </c>
      <c r="B147" t="s">
        <v>17</v>
      </c>
      <c r="C147" t="s">
        <v>29</v>
      </c>
      <c r="D147">
        <v>1</v>
      </c>
      <c r="E147">
        <v>37.6</v>
      </c>
      <c r="F147" t="str">
        <f t="shared" si="4"/>
        <v>2024-09</v>
      </c>
      <c r="G147">
        <f t="shared" si="5"/>
        <v>37.6</v>
      </c>
      <c r="H147" s="2">
        <v>45536.857630524908</v>
      </c>
      <c r="I147" t="s">
        <v>33</v>
      </c>
      <c r="J147" t="s">
        <v>337</v>
      </c>
    </row>
    <row r="148" spans="1:10" x14ac:dyDescent="0.3">
      <c r="A148" t="s">
        <v>338</v>
      </c>
      <c r="B148" t="s">
        <v>21</v>
      </c>
      <c r="C148" t="s">
        <v>30</v>
      </c>
      <c r="D148">
        <v>4</v>
      </c>
      <c r="E148">
        <v>14.07</v>
      </c>
      <c r="F148" t="str">
        <f t="shared" si="4"/>
        <v>2024-11</v>
      </c>
      <c r="G148">
        <f t="shared" si="5"/>
        <v>56.28</v>
      </c>
      <c r="H148" s="2">
        <v>45597.857630524908</v>
      </c>
      <c r="I148" t="s">
        <v>34</v>
      </c>
      <c r="J148" t="s">
        <v>339</v>
      </c>
    </row>
    <row r="149" spans="1:10" x14ac:dyDescent="0.3">
      <c r="A149" t="s">
        <v>340</v>
      </c>
      <c r="B149" t="s">
        <v>24</v>
      </c>
      <c r="C149" t="s">
        <v>28</v>
      </c>
      <c r="D149">
        <v>2</v>
      </c>
      <c r="E149">
        <v>59.83</v>
      </c>
      <c r="F149" t="str">
        <f t="shared" si="4"/>
        <v>2024-04</v>
      </c>
      <c r="G149">
        <f t="shared" si="5"/>
        <v>119.66</v>
      </c>
      <c r="H149" s="2">
        <v>45411.857630524908</v>
      </c>
      <c r="I149" t="s">
        <v>34</v>
      </c>
      <c r="J149" t="s">
        <v>341</v>
      </c>
    </row>
    <row r="150" spans="1:10" x14ac:dyDescent="0.3">
      <c r="A150" t="s">
        <v>342</v>
      </c>
      <c r="B150" t="s">
        <v>21</v>
      </c>
      <c r="C150" t="s">
        <v>30</v>
      </c>
      <c r="D150">
        <v>3</v>
      </c>
      <c r="E150">
        <v>14.42</v>
      </c>
      <c r="F150" t="str">
        <f t="shared" si="4"/>
        <v>2024-04</v>
      </c>
      <c r="G150">
        <f t="shared" si="5"/>
        <v>43.26</v>
      </c>
      <c r="H150" s="2">
        <v>45387.857630524908</v>
      </c>
      <c r="I150" t="s">
        <v>33</v>
      </c>
      <c r="J150" t="s">
        <v>343</v>
      </c>
    </row>
    <row r="151" spans="1:10" x14ac:dyDescent="0.3">
      <c r="A151" t="s">
        <v>344</v>
      </c>
      <c r="B151" t="s">
        <v>16</v>
      </c>
      <c r="C151" t="s">
        <v>29</v>
      </c>
      <c r="D151">
        <v>5</v>
      </c>
      <c r="E151">
        <v>16.87</v>
      </c>
      <c r="F151" t="str">
        <f t="shared" si="4"/>
        <v>2024-10</v>
      </c>
      <c r="G151">
        <f t="shared" si="5"/>
        <v>84.350000000000009</v>
      </c>
      <c r="H151" s="2">
        <v>45584.857630524908</v>
      </c>
      <c r="I151" t="s">
        <v>33</v>
      </c>
      <c r="J151" t="s">
        <v>345</v>
      </c>
    </row>
    <row r="152" spans="1:10" x14ac:dyDescent="0.3">
      <c r="A152" t="s">
        <v>346</v>
      </c>
      <c r="B152" t="s">
        <v>27</v>
      </c>
      <c r="C152" t="s">
        <v>28</v>
      </c>
      <c r="D152">
        <v>5</v>
      </c>
      <c r="E152">
        <v>50.39</v>
      </c>
      <c r="F152" t="str">
        <f t="shared" si="4"/>
        <v>2025-02</v>
      </c>
      <c r="G152">
        <f t="shared" si="5"/>
        <v>251.95</v>
      </c>
      <c r="H152" s="2">
        <v>45701.857630524908</v>
      </c>
      <c r="I152" t="s">
        <v>31</v>
      </c>
      <c r="J152" t="s">
        <v>347</v>
      </c>
    </row>
    <row r="153" spans="1:10" x14ac:dyDescent="0.3">
      <c r="A153" t="s">
        <v>348</v>
      </c>
      <c r="B153" t="s">
        <v>16</v>
      </c>
      <c r="C153" t="s">
        <v>29</v>
      </c>
      <c r="D153">
        <v>4</v>
      </c>
      <c r="E153">
        <v>56.23</v>
      </c>
      <c r="F153" t="str">
        <f t="shared" si="4"/>
        <v>2025-04</v>
      </c>
      <c r="G153">
        <f t="shared" si="5"/>
        <v>224.92</v>
      </c>
      <c r="H153" s="2">
        <v>45750.857630524908</v>
      </c>
      <c r="I153" t="s">
        <v>32</v>
      </c>
      <c r="J153" t="s">
        <v>349</v>
      </c>
    </row>
    <row r="154" spans="1:10" x14ac:dyDescent="0.3">
      <c r="A154" t="s">
        <v>350</v>
      </c>
      <c r="B154" t="s">
        <v>24</v>
      </c>
      <c r="C154" t="s">
        <v>28</v>
      </c>
      <c r="D154">
        <v>5</v>
      </c>
      <c r="E154">
        <v>38.97</v>
      </c>
      <c r="F154" t="str">
        <f t="shared" si="4"/>
        <v>2024-12</v>
      </c>
      <c r="G154">
        <f t="shared" si="5"/>
        <v>194.85</v>
      </c>
      <c r="H154" s="2">
        <v>45629.857630524908</v>
      </c>
      <c r="I154" t="s">
        <v>35</v>
      </c>
      <c r="J154" t="s">
        <v>351</v>
      </c>
    </row>
    <row r="155" spans="1:10" x14ac:dyDescent="0.3">
      <c r="A155" t="s">
        <v>352</v>
      </c>
      <c r="B155" t="s">
        <v>16</v>
      </c>
      <c r="C155" t="s">
        <v>29</v>
      </c>
      <c r="D155">
        <v>3</v>
      </c>
      <c r="E155">
        <v>44.14</v>
      </c>
      <c r="F155" t="str">
        <f t="shared" si="4"/>
        <v>2025-02</v>
      </c>
      <c r="G155">
        <f t="shared" si="5"/>
        <v>132.42000000000002</v>
      </c>
      <c r="H155" s="2">
        <v>45690.857630524908</v>
      </c>
      <c r="I155" t="s">
        <v>31</v>
      </c>
      <c r="J155" t="s">
        <v>353</v>
      </c>
    </row>
    <row r="156" spans="1:10" x14ac:dyDescent="0.3">
      <c r="A156" t="s">
        <v>354</v>
      </c>
      <c r="B156" t="s">
        <v>22</v>
      </c>
      <c r="C156" t="s">
        <v>30</v>
      </c>
      <c r="D156">
        <v>2</v>
      </c>
      <c r="E156">
        <v>25.76</v>
      </c>
      <c r="F156" t="str">
        <f t="shared" si="4"/>
        <v>2024-10</v>
      </c>
      <c r="G156">
        <f t="shared" si="5"/>
        <v>51.52</v>
      </c>
      <c r="H156" s="2">
        <v>45574.857630524908</v>
      </c>
      <c r="I156" t="s">
        <v>31</v>
      </c>
      <c r="J156" t="s">
        <v>355</v>
      </c>
    </row>
    <row r="157" spans="1:10" x14ac:dyDescent="0.3">
      <c r="A157" t="s">
        <v>356</v>
      </c>
      <c r="B157" t="s">
        <v>18</v>
      </c>
      <c r="C157" t="s">
        <v>29</v>
      </c>
      <c r="D157">
        <v>3</v>
      </c>
      <c r="E157">
        <v>30.49</v>
      </c>
      <c r="F157" t="str">
        <f t="shared" si="4"/>
        <v>2025-02</v>
      </c>
      <c r="G157">
        <f t="shared" si="5"/>
        <v>91.47</v>
      </c>
      <c r="H157" s="2">
        <v>45715.857630524908</v>
      </c>
      <c r="I157" t="s">
        <v>31</v>
      </c>
      <c r="J157" t="s">
        <v>357</v>
      </c>
    </row>
    <row r="158" spans="1:10" x14ac:dyDescent="0.3">
      <c r="A158" t="s">
        <v>358</v>
      </c>
      <c r="B158" t="s">
        <v>27</v>
      </c>
      <c r="C158" t="s">
        <v>28</v>
      </c>
      <c r="D158">
        <v>5</v>
      </c>
      <c r="E158">
        <v>52.49</v>
      </c>
      <c r="F158" t="str">
        <f t="shared" si="4"/>
        <v>2025-02</v>
      </c>
      <c r="G158">
        <f t="shared" si="5"/>
        <v>262.45</v>
      </c>
      <c r="H158" s="2">
        <v>45696.857630524908</v>
      </c>
      <c r="I158" t="s">
        <v>34</v>
      </c>
      <c r="J158" t="s">
        <v>359</v>
      </c>
    </row>
    <row r="159" spans="1:10" x14ac:dyDescent="0.3">
      <c r="A159" t="s">
        <v>360</v>
      </c>
      <c r="B159" t="s">
        <v>16</v>
      </c>
      <c r="C159" t="s">
        <v>29</v>
      </c>
      <c r="D159">
        <v>3</v>
      </c>
      <c r="E159">
        <v>38.01</v>
      </c>
      <c r="F159" t="str">
        <f t="shared" si="4"/>
        <v>2025-04</v>
      </c>
      <c r="G159">
        <f t="shared" si="5"/>
        <v>114.03</v>
      </c>
      <c r="H159" s="2">
        <v>45748.857630524908</v>
      </c>
      <c r="I159" t="s">
        <v>35</v>
      </c>
      <c r="J159" t="s">
        <v>361</v>
      </c>
    </row>
    <row r="160" spans="1:10" x14ac:dyDescent="0.3">
      <c r="A160" t="s">
        <v>362</v>
      </c>
      <c r="B160" t="s">
        <v>19</v>
      </c>
      <c r="C160" t="s">
        <v>28</v>
      </c>
      <c r="D160">
        <v>3</v>
      </c>
      <c r="E160">
        <v>31.05</v>
      </c>
      <c r="F160" t="str">
        <f t="shared" si="4"/>
        <v>2024-08</v>
      </c>
      <c r="G160">
        <f t="shared" si="5"/>
        <v>93.15</v>
      </c>
      <c r="H160" s="2">
        <v>45527.857630524908</v>
      </c>
      <c r="I160" t="s">
        <v>31</v>
      </c>
      <c r="J160" t="s">
        <v>363</v>
      </c>
    </row>
    <row r="161" spans="1:10" x14ac:dyDescent="0.3">
      <c r="A161" t="s">
        <v>364</v>
      </c>
      <c r="B161" t="s">
        <v>16</v>
      </c>
      <c r="C161" t="s">
        <v>29</v>
      </c>
      <c r="D161">
        <v>1</v>
      </c>
      <c r="E161">
        <v>49.39</v>
      </c>
      <c r="F161" t="str">
        <f t="shared" si="4"/>
        <v>2024-09</v>
      </c>
      <c r="G161">
        <f t="shared" si="5"/>
        <v>49.39</v>
      </c>
      <c r="H161" s="2">
        <v>45564.857630524908</v>
      </c>
      <c r="I161" t="s">
        <v>35</v>
      </c>
      <c r="J161" t="s">
        <v>365</v>
      </c>
    </row>
    <row r="162" spans="1:10" x14ac:dyDescent="0.3">
      <c r="A162" t="s">
        <v>366</v>
      </c>
      <c r="B162" t="s">
        <v>17</v>
      </c>
      <c r="C162" t="s">
        <v>29</v>
      </c>
      <c r="D162">
        <v>1</v>
      </c>
      <c r="E162">
        <v>48</v>
      </c>
      <c r="F162" t="str">
        <f t="shared" si="4"/>
        <v>2024-12</v>
      </c>
      <c r="G162">
        <f t="shared" si="5"/>
        <v>48</v>
      </c>
      <c r="H162" s="2">
        <v>45645.857630524908</v>
      </c>
      <c r="I162" t="s">
        <v>33</v>
      </c>
      <c r="J162" t="s">
        <v>367</v>
      </c>
    </row>
    <row r="163" spans="1:10" x14ac:dyDescent="0.3">
      <c r="A163" t="s">
        <v>368</v>
      </c>
      <c r="B163" t="s">
        <v>27</v>
      </c>
      <c r="C163" t="s">
        <v>28</v>
      </c>
      <c r="D163">
        <v>4</v>
      </c>
      <c r="E163">
        <v>28.48</v>
      </c>
      <c r="F163" t="str">
        <f t="shared" si="4"/>
        <v>2025-03</v>
      </c>
      <c r="G163">
        <f t="shared" si="5"/>
        <v>113.92</v>
      </c>
      <c r="H163" s="2">
        <v>45724.857630524908</v>
      </c>
      <c r="I163" t="s">
        <v>34</v>
      </c>
      <c r="J163" t="s">
        <v>369</v>
      </c>
    </row>
    <row r="164" spans="1:10" x14ac:dyDescent="0.3">
      <c r="A164" t="s">
        <v>370</v>
      </c>
      <c r="B164" t="s">
        <v>24</v>
      </c>
      <c r="C164" t="s">
        <v>28</v>
      </c>
      <c r="D164">
        <v>5</v>
      </c>
      <c r="E164">
        <v>57.12</v>
      </c>
      <c r="F164" t="str">
        <f t="shared" si="4"/>
        <v>2024-10</v>
      </c>
      <c r="G164">
        <f t="shared" si="5"/>
        <v>285.59999999999997</v>
      </c>
      <c r="H164" s="2">
        <v>45586.857630524908</v>
      </c>
      <c r="I164" t="s">
        <v>33</v>
      </c>
      <c r="J164" t="s">
        <v>371</v>
      </c>
    </row>
    <row r="165" spans="1:10" x14ac:dyDescent="0.3">
      <c r="A165" t="s">
        <v>372</v>
      </c>
      <c r="B165" t="s">
        <v>16</v>
      </c>
      <c r="C165" t="s">
        <v>29</v>
      </c>
      <c r="D165">
        <v>1</v>
      </c>
      <c r="E165">
        <v>10.35</v>
      </c>
      <c r="F165" t="str">
        <f t="shared" si="4"/>
        <v>2024-10</v>
      </c>
      <c r="G165">
        <f t="shared" si="5"/>
        <v>10.35</v>
      </c>
      <c r="H165" s="2">
        <v>45595.857630524908</v>
      </c>
      <c r="I165" t="s">
        <v>33</v>
      </c>
      <c r="J165" t="s">
        <v>373</v>
      </c>
    </row>
    <row r="166" spans="1:10" x14ac:dyDescent="0.3">
      <c r="A166" t="s">
        <v>374</v>
      </c>
      <c r="B166" t="s">
        <v>20</v>
      </c>
      <c r="C166" t="s">
        <v>30</v>
      </c>
      <c r="D166">
        <v>2</v>
      </c>
      <c r="E166">
        <v>30.7</v>
      </c>
      <c r="F166" t="str">
        <f t="shared" si="4"/>
        <v>2025-01</v>
      </c>
      <c r="G166">
        <f t="shared" si="5"/>
        <v>61.4</v>
      </c>
      <c r="H166" s="2">
        <v>45686.857630524908</v>
      </c>
      <c r="I166" t="s">
        <v>33</v>
      </c>
      <c r="J166" t="s">
        <v>375</v>
      </c>
    </row>
    <row r="167" spans="1:10" x14ac:dyDescent="0.3">
      <c r="A167" t="s">
        <v>376</v>
      </c>
      <c r="B167" t="s">
        <v>19</v>
      </c>
      <c r="C167" t="s">
        <v>28</v>
      </c>
      <c r="D167">
        <v>3</v>
      </c>
      <c r="E167">
        <v>39.4</v>
      </c>
      <c r="F167" t="str">
        <f t="shared" si="4"/>
        <v>2024-10</v>
      </c>
      <c r="G167">
        <f t="shared" si="5"/>
        <v>118.19999999999999</v>
      </c>
      <c r="H167" s="2">
        <v>45579.857630524908</v>
      </c>
      <c r="I167" t="s">
        <v>32</v>
      </c>
      <c r="J167" t="s">
        <v>377</v>
      </c>
    </row>
    <row r="168" spans="1:10" x14ac:dyDescent="0.3">
      <c r="A168" t="s">
        <v>378</v>
      </c>
      <c r="B168" t="s">
        <v>22</v>
      </c>
      <c r="C168" t="s">
        <v>30</v>
      </c>
      <c r="D168">
        <v>1</v>
      </c>
      <c r="E168">
        <v>47.63</v>
      </c>
      <c r="F168" t="str">
        <f t="shared" si="4"/>
        <v>2024-04</v>
      </c>
      <c r="G168">
        <f t="shared" si="5"/>
        <v>47.63</v>
      </c>
      <c r="H168" s="2">
        <v>45393.857630524908</v>
      </c>
      <c r="I168" t="s">
        <v>33</v>
      </c>
      <c r="J168" t="s">
        <v>379</v>
      </c>
    </row>
    <row r="169" spans="1:10" x14ac:dyDescent="0.3">
      <c r="A169" t="s">
        <v>380</v>
      </c>
      <c r="B169" t="s">
        <v>26</v>
      </c>
      <c r="C169" t="s">
        <v>28</v>
      </c>
      <c r="D169">
        <v>5</v>
      </c>
      <c r="E169">
        <v>28.79</v>
      </c>
      <c r="F169" t="str">
        <f t="shared" si="4"/>
        <v>2024-07</v>
      </c>
      <c r="G169">
        <f t="shared" si="5"/>
        <v>143.94999999999999</v>
      </c>
      <c r="H169" s="2">
        <v>45501.857630524908</v>
      </c>
      <c r="I169" t="s">
        <v>35</v>
      </c>
      <c r="J169" t="s">
        <v>381</v>
      </c>
    </row>
    <row r="170" spans="1:10" x14ac:dyDescent="0.3">
      <c r="A170" t="s">
        <v>382</v>
      </c>
      <c r="B170" t="s">
        <v>16</v>
      </c>
      <c r="C170" t="s">
        <v>29</v>
      </c>
      <c r="D170">
        <v>4</v>
      </c>
      <c r="E170">
        <v>41.56</v>
      </c>
      <c r="F170" t="str">
        <f t="shared" si="4"/>
        <v>2024-11</v>
      </c>
      <c r="G170">
        <f t="shared" si="5"/>
        <v>166.24</v>
      </c>
      <c r="H170" s="2">
        <v>45620.857630524908</v>
      </c>
      <c r="I170" t="s">
        <v>33</v>
      </c>
      <c r="J170" t="s">
        <v>383</v>
      </c>
    </row>
    <row r="171" spans="1:10" x14ac:dyDescent="0.3">
      <c r="A171" t="s">
        <v>384</v>
      </c>
      <c r="B171" t="s">
        <v>23</v>
      </c>
      <c r="C171" t="s">
        <v>28</v>
      </c>
      <c r="D171">
        <v>2</v>
      </c>
      <c r="E171">
        <v>51.3</v>
      </c>
      <c r="F171" t="str">
        <f t="shared" si="4"/>
        <v>2024-07</v>
      </c>
      <c r="G171">
        <f t="shared" si="5"/>
        <v>102.6</v>
      </c>
      <c r="H171" s="2">
        <v>45485.857630524908</v>
      </c>
      <c r="I171" t="s">
        <v>35</v>
      </c>
      <c r="J171" t="s">
        <v>385</v>
      </c>
    </row>
    <row r="172" spans="1:10" x14ac:dyDescent="0.3">
      <c r="A172" t="s">
        <v>386</v>
      </c>
      <c r="B172" t="s">
        <v>16</v>
      </c>
      <c r="C172" t="s">
        <v>29</v>
      </c>
      <c r="D172">
        <v>4</v>
      </c>
      <c r="E172">
        <v>40.75</v>
      </c>
      <c r="F172" t="str">
        <f t="shared" si="4"/>
        <v>2024-05</v>
      </c>
      <c r="G172">
        <f t="shared" si="5"/>
        <v>163</v>
      </c>
      <c r="H172" s="2">
        <v>45426.857630524908</v>
      </c>
      <c r="I172" t="s">
        <v>31</v>
      </c>
      <c r="J172" t="s">
        <v>387</v>
      </c>
    </row>
    <row r="173" spans="1:10" x14ac:dyDescent="0.3">
      <c r="A173" t="s">
        <v>388</v>
      </c>
      <c r="B173" t="s">
        <v>16</v>
      </c>
      <c r="C173" t="s">
        <v>29</v>
      </c>
      <c r="D173">
        <v>4</v>
      </c>
      <c r="E173">
        <v>57.71</v>
      </c>
      <c r="F173" t="str">
        <f t="shared" si="4"/>
        <v>2024-09</v>
      </c>
      <c r="G173">
        <f t="shared" si="5"/>
        <v>230.84</v>
      </c>
      <c r="H173" s="2">
        <v>45559.857630524908</v>
      </c>
      <c r="I173" t="s">
        <v>32</v>
      </c>
      <c r="J173" t="s">
        <v>389</v>
      </c>
    </row>
    <row r="174" spans="1:10" x14ac:dyDescent="0.3">
      <c r="A174" t="s">
        <v>390</v>
      </c>
      <c r="B174" t="s">
        <v>18</v>
      </c>
      <c r="C174" t="s">
        <v>29</v>
      </c>
      <c r="D174">
        <v>4</v>
      </c>
      <c r="E174">
        <v>24.02</v>
      </c>
      <c r="F174" t="str">
        <f t="shared" si="4"/>
        <v>2024-12</v>
      </c>
      <c r="G174">
        <f t="shared" si="5"/>
        <v>96.08</v>
      </c>
      <c r="H174" s="2">
        <v>45633.857630524908</v>
      </c>
      <c r="I174" t="s">
        <v>35</v>
      </c>
      <c r="J174" t="s">
        <v>391</v>
      </c>
    </row>
    <row r="175" spans="1:10" x14ac:dyDescent="0.3">
      <c r="A175" t="s">
        <v>392</v>
      </c>
      <c r="B175" t="s">
        <v>25</v>
      </c>
      <c r="C175" t="s">
        <v>30</v>
      </c>
      <c r="D175">
        <v>1</v>
      </c>
      <c r="E175">
        <v>48.45</v>
      </c>
      <c r="F175" t="str">
        <f t="shared" si="4"/>
        <v>2024-05</v>
      </c>
      <c r="G175">
        <f t="shared" si="5"/>
        <v>48.45</v>
      </c>
      <c r="H175" s="2">
        <v>45417.857630524908</v>
      </c>
      <c r="I175" t="s">
        <v>35</v>
      </c>
      <c r="J175" t="s">
        <v>393</v>
      </c>
    </row>
    <row r="176" spans="1:10" x14ac:dyDescent="0.3">
      <c r="A176" t="s">
        <v>394</v>
      </c>
      <c r="B176" t="s">
        <v>18</v>
      </c>
      <c r="C176" t="s">
        <v>29</v>
      </c>
      <c r="D176">
        <v>5</v>
      </c>
      <c r="E176">
        <v>59.54</v>
      </c>
      <c r="F176" t="str">
        <f t="shared" si="4"/>
        <v>2024-12</v>
      </c>
      <c r="G176">
        <f t="shared" si="5"/>
        <v>297.7</v>
      </c>
      <c r="H176" s="2">
        <v>45644.857630524908</v>
      </c>
      <c r="I176" t="s">
        <v>31</v>
      </c>
      <c r="J176" t="s">
        <v>395</v>
      </c>
    </row>
    <row r="177" spans="1:10" x14ac:dyDescent="0.3">
      <c r="A177" t="s">
        <v>396</v>
      </c>
      <c r="B177" t="s">
        <v>17</v>
      </c>
      <c r="C177" t="s">
        <v>29</v>
      </c>
      <c r="D177">
        <v>1</v>
      </c>
      <c r="E177">
        <v>26.14</v>
      </c>
      <c r="F177" t="str">
        <f t="shared" si="4"/>
        <v>2024-06</v>
      </c>
      <c r="G177">
        <f t="shared" si="5"/>
        <v>26.14</v>
      </c>
      <c r="H177" s="2">
        <v>45472.857630524908</v>
      </c>
      <c r="I177" t="s">
        <v>35</v>
      </c>
      <c r="J177" t="s">
        <v>397</v>
      </c>
    </row>
    <row r="178" spans="1:10" x14ac:dyDescent="0.3">
      <c r="A178" t="s">
        <v>398</v>
      </c>
      <c r="B178" t="s">
        <v>18</v>
      </c>
      <c r="C178" t="s">
        <v>29</v>
      </c>
      <c r="D178">
        <v>4</v>
      </c>
      <c r="E178">
        <v>55.03</v>
      </c>
      <c r="F178" t="str">
        <f t="shared" si="4"/>
        <v>2025-03</v>
      </c>
      <c r="G178">
        <f t="shared" si="5"/>
        <v>220.12</v>
      </c>
      <c r="H178" s="2">
        <v>45736.857630524908</v>
      </c>
      <c r="I178" t="s">
        <v>33</v>
      </c>
      <c r="J178" t="s">
        <v>399</v>
      </c>
    </row>
    <row r="179" spans="1:10" x14ac:dyDescent="0.3">
      <c r="A179" t="s">
        <v>400</v>
      </c>
      <c r="B179" t="s">
        <v>27</v>
      </c>
      <c r="C179" t="s">
        <v>28</v>
      </c>
      <c r="D179">
        <v>5</v>
      </c>
      <c r="E179">
        <v>22.79</v>
      </c>
      <c r="F179" t="str">
        <f t="shared" si="4"/>
        <v>2025-02</v>
      </c>
      <c r="G179">
        <f t="shared" si="5"/>
        <v>113.94999999999999</v>
      </c>
      <c r="H179" s="2">
        <v>45713.857630524908</v>
      </c>
      <c r="I179" t="s">
        <v>31</v>
      </c>
      <c r="J179" t="s">
        <v>401</v>
      </c>
    </row>
    <row r="180" spans="1:10" x14ac:dyDescent="0.3">
      <c r="A180" t="s">
        <v>402</v>
      </c>
      <c r="B180" t="s">
        <v>26</v>
      </c>
      <c r="C180" t="s">
        <v>28</v>
      </c>
      <c r="D180">
        <v>5</v>
      </c>
      <c r="E180">
        <v>52.81</v>
      </c>
      <c r="F180" t="str">
        <f t="shared" si="4"/>
        <v>2024-05</v>
      </c>
      <c r="G180">
        <f t="shared" si="5"/>
        <v>264.05</v>
      </c>
      <c r="H180" s="2">
        <v>45420.857630524908</v>
      </c>
      <c r="I180" t="s">
        <v>35</v>
      </c>
      <c r="J180" t="s">
        <v>403</v>
      </c>
    </row>
    <row r="181" spans="1:10" x14ac:dyDescent="0.3">
      <c r="A181" t="s">
        <v>404</v>
      </c>
      <c r="B181" t="s">
        <v>22</v>
      </c>
      <c r="C181" t="s">
        <v>30</v>
      </c>
      <c r="D181">
        <v>4</v>
      </c>
      <c r="E181">
        <v>14.68</v>
      </c>
      <c r="F181" t="str">
        <f t="shared" si="4"/>
        <v>2024-06</v>
      </c>
      <c r="G181">
        <f t="shared" si="5"/>
        <v>58.72</v>
      </c>
      <c r="H181" s="2">
        <v>45456.857630524908</v>
      </c>
      <c r="I181" t="s">
        <v>31</v>
      </c>
      <c r="J181" t="s">
        <v>405</v>
      </c>
    </row>
    <row r="182" spans="1:10" x14ac:dyDescent="0.3">
      <c r="A182" t="s">
        <v>406</v>
      </c>
      <c r="B182" t="s">
        <v>21</v>
      </c>
      <c r="C182" t="s">
        <v>30</v>
      </c>
      <c r="D182">
        <v>4</v>
      </c>
      <c r="E182">
        <v>36.69</v>
      </c>
      <c r="F182" t="str">
        <f t="shared" si="4"/>
        <v>2025-01</v>
      </c>
      <c r="G182">
        <f t="shared" si="5"/>
        <v>146.76</v>
      </c>
      <c r="H182" s="2">
        <v>45665.857630524908</v>
      </c>
      <c r="I182" t="s">
        <v>34</v>
      </c>
      <c r="J182" t="s">
        <v>407</v>
      </c>
    </row>
    <row r="183" spans="1:10" x14ac:dyDescent="0.3">
      <c r="A183" t="s">
        <v>408</v>
      </c>
      <c r="B183" t="s">
        <v>27</v>
      </c>
      <c r="C183" t="s">
        <v>28</v>
      </c>
      <c r="D183">
        <v>1</v>
      </c>
      <c r="E183">
        <v>33.22</v>
      </c>
      <c r="F183" t="str">
        <f t="shared" si="4"/>
        <v>2024-12</v>
      </c>
      <c r="G183">
        <f t="shared" si="5"/>
        <v>33.22</v>
      </c>
      <c r="H183" s="2">
        <v>45641.857630524908</v>
      </c>
      <c r="I183" t="s">
        <v>35</v>
      </c>
      <c r="J183" t="s">
        <v>409</v>
      </c>
    </row>
    <row r="184" spans="1:10" x14ac:dyDescent="0.3">
      <c r="A184" t="s">
        <v>410</v>
      </c>
      <c r="B184" t="s">
        <v>20</v>
      </c>
      <c r="C184" t="s">
        <v>30</v>
      </c>
      <c r="D184">
        <v>5</v>
      </c>
      <c r="E184">
        <v>24.15</v>
      </c>
      <c r="F184" t="str">
        <f t="shared" si="4"/>
        <v>2024-09</v>
      </c>
      <c r="G184">
        <f t="shared" si="5"/>
        <v>120.75</v>
      </c>
      <c r="H184" s="2">
        <v>45542.857630524908</v>
      </c>
      <c r="I184" t="s">
        <v>35</v>
      </c>
      <c r="J184" t="s">
        <v>411</v>
      </c>
    </row>
    <row r="185" spans="1:10" x14ac:dyDescent="0.3">
      <c r="A185" t="s">
        <v>412</v>
      </c>
      <c r="B185" t="s">
        <v>18</v>
      </c>
      <c r="C185" t="s">
        <v>29</v>
      </c>
      <c r="D185">
        <v>5</v>
      </c>
      <c r="E185">
        <v>31.19</v>
      </c>
      <c r="F185" t="str">
        <f t="shared" si="4"/>
        <v>2024-09</v>
      </c>
      <c r="G185">
        <f t="shared" si="5"/>
        <v>155.95000000000002</v>
      </c>
      <c r="H185" s="2">
        <v>45553.857630524908</v>
      </c>
      <c r="I185" t="s">
        <v>33</v>
      </c>
      <c r="J185" t="s">
        <v>413</v>
      </c>
    </row>
    <row r="186" spans="1:10" x14ac:dyDescent="0.3">
      <c r="A186" t="s">
        <v>414</v>
      </c>
      <c r="B186" t="s">
        <v>18</v>
      </c>
      <c r="C186" t="s">
        <v>29</v>
      </c>
      <c r="D186">
        <v>3</v>
      </c>
      <c r="E186">
        <v>24.46</v>
      </c>
      <c r="F186" t="str">
        <f t="shared" si="4"/>
        <v>2024-06</v>
      </c>
      <c r="G186">
        <f t="shared" si="5"/>
        <v>73.38</v>
      </c>
      <c r="H186" s="2">
        <v>45460.857630524908</v>
      </c>
      <c r="I186" t="s">
        <v>33</v>
      </c>
      <c r="J186" t="s">
        <v>415</v>
      </c>
    </row>
    <row r="187" spans="1:10" x14ac:dyDescent="0.3">
      <c r="A187" t="s">
        <v>416</v>
      </c>
      <c r="B187" t="s">
        <v>18</v>
      </c>
      <c r="C187" t="s">
        <v>29</v>
      </c>
      <c r="D187">
        <v>3</v>
      </c>
      <c r="E187">
        <v>59.68</v>
      </c>
      <c r="F187" t="str">
        <f t="shared" si="4"/>
        <v>2024-05</v>
      </c>
      <c r="G187">
        <f t="shared" si="5"/>
        <v>179.04</v>
      </c>
      <c r="H187" s="2">
        <v>45428.857630524908</v>
      </c>
      <c r="I187" t="s">
        <v>33</v>
      </c>
      <c r="J187" t="s">
        <v>417</v>
      </c>
    </row>
    <row r="188" spans="1:10" x14ac:dyDescent="0.3">
      <c r="A188" t="s">
        <v>418</v>
      </c>
      <c r="B188" t="s">
        <v>17</v>
      </c>
      <c r="C188" t="s">
        <v>29</v>
      </c>
      <c r="D188">
        <v>4</v>
      </c>
      <c r="E188">
        <v>15.71</v>
      </c>
      <c r="F188" t="str">
        <f t="shared" si="4"/>
        <v>2024-06</v>
      </c>
      <c r="G188">
        <f t="shared" si="5"/>
        <v>62.84</v>
      </c>
      <c r="H188" s="2">
        <v>45460.857630524908</v>
      </c>
      <c r="I188" t="s">
        <v>31</v>
      </c>
      <c r="J188" t="s">
        <v>419</v>
      </c>
    </row>
    <row r="189" spans="1:10" x14ac:dyDescent="0.3">
      <c r="A189" t="s">
        <v>420</v>
      </c>
      <c r="B189" t="s">
        <v>16</v>
      </c>
      <c r="C189" t="s">
        <v>29</v>
      </c>
      <c r="D189">
        <v>3</v>
      </c>
      <c r="E189">
        <v>50.15</v>
      </c>
      <c r="F189" t="str">
        <f t="shared" si="4"/>
        <v>2025-03</v>
      </c>
      <c r="G189">
        <f t="shared" si="5"/>
        <v>150.44999999999999</v>
      </c>
      <c r="H189" s="2">
        <v>45726.857630524908</v>
      </c>
      <c r="I189" t="s">
        <v>33</v>
      </c>
      <c r="J189" t="s">
        <v>421</v>
      </c>
    </row>
    <row r="190" spans="1:10" x14ac:dyDescent="0.3">
      <c r="A190" t="s">
        <v>422</v>
      </c>
      <c r="B190" t="s">
        <v>16</v>
      </c>
      <c r="C190" t="s">
        <v>29</v>
      </c>
      <c r="D190">
        <v>4</v>
      </c>
      <c r="E190">
        <v>14.01</v>
      </c>
      <c r="F190" t="str">
        <f t="shared" si="4"/>
        <v>2024-06</v>
      </c>
      <c r="G190">
        <f t="shared" si="5"/>
        <v>56.04</v>
      </c>
      <c r="H190" s="2">
        <v>45446.857630524908</v>
      </c>
      <c r="I190" t="s">
        <v>31</v>
      </c>
      <c r="J190" t="s">
        <v>423</v>
      </c>
    </row>
    <row r="191" spans="1:10" x14ac:dyDescent="0.3">
      <c r="A191" t="s">
        <v>424</v>
      </c>
      <c r="B191" t="s">
        <v>22</v>
      </c>
      <c r="C191" t="s">
        <v>30</v>
      </c>
      <c r="D191">
        <v>5</v>
      </c>
      <c r="E191">
        <v>13.68</v>
      </c>
      <c r="F191" t="str">
        <f t="shared" si="4"/>
        <v>2025-03</v>
      </c>
      <c r="G191">
        <f t="shared" si="5"/>
        <v>68.400000000000006</v>
      </c>
      <c r="H191" s="2">
        <v>45745.857630524908</v>
      </c>
      <c r="I191" t="s">
        <v>31</v>
      </c>
      <c r="J191" t="s">
        <v>425</v>
      </c>
    </row>
    <row r="192" spans="1:10" x14ac:dyDescent="0.3">
      <c r="A192" t="s">
        <v>426</v>
      </c>
      <c r="B192" t="s">
        <v>21</v>
      </c>
      <c r="C192" t="s">
        <v>30</v>
      </c>
      <c r="D192">
        <v>2</v>
      </c>
      <c r="E192">
        <v>55.91</v>
      </c>
      <c r="F192" t="str">
        <f t="shared" si="4"/>
        <v>2024-12</v>
      </c>
      <c r="G192">
        <f t="shared" si="5"/>
        <v>111.82</v>
      </c>
      <c r="H192" s="2">
        <v>45648.857630524908</v>
      </c>
      <c r="I192" t="s">
        <v>31</v>
      </c>
      <c r="J192" t="s">
        <v>427</v>
      </c>
    </row>
    <row r="193" spans="1:10" x14ac:dyDescent="0.3">
      <c r="A193" t="s">
        <v>428</v>
      </c>
      <c r="B193" t="s">
        <v>19</v>
      </c>
      <c r="C193" t="s">
        <v>28</v>
      </c>
      <c r="D193">
        <v>3</v>
      </c>
      <c r="E193">
        <v>54.75</v>
      </c>
      <c r="F193" t="str">
        <f t="shared" si="4"/>
        <v>2024-10</v>
      </c>
      <c r="G193">
        <f t="shared" si="5"/>
        <v>164.25</v>
      </c>
      <c r="H193" s="2">
        <v>45591.857630524908</v>
      </c>
      <c r="I193" t="s">
        <v>32</v>
      </c>
      <c r="J193" t="s">
        <v>429</v>
      </c>
    </row>
    <row r="194" spans="1:10" x14ac:dyDescent="0.3">
      <c r="A194" t="s">
        <v>430</v>
      </c>
      <c r="B194" t="s">
        <v>24</v>
      </c>
      <c r="C194" t="s">
        <v>28</v>
      </c>
      <c r="D194">
        <v>2</v>
      </c>
      <c r="E194">
        <v>30.92</v>
      </c>
      <c r="F194" t="str">
        <f t="shared" si="4"/>
        <v>2025-01</v>
      </c>
      <c r="G194">
        <f t="shared" si="5"/>
        <v>61.84</v>
      </c>
      <c r="H194" s="2">
        <v>45680.857630524908</v>
      </c>
      <c r="I194" t="s">
        <v>31</v>
      </c>
      <c r="J194" t="s">
        <v>431</v>
      </c>
    </row>
    <row r="195" spans="1:10" x14ac:dyDescent="0.3">
      <c r="A195" t="s">
        <v>432</v>
      </c>
      <c r="B195" t="s">
        <v>17</v>
      </c>
      <c r="C195" t="s">
        <v>29</v>
      </c>
      <c r="D195">
        <v>4</v>
      </c>
      <c r="E195">
        <v>31.56</v>
      </c>
      <c r="F195" t="str">
        <f t="shared" ref="F195:F258" si="6">TEXT(H195, "yyyy-mm")</f>
        <v>2024-05</v>
      </c>
      <c r="G195">
        <f t="shared" ref="G195:G258" si="7">D195*E195</f>
        <v>126.24</v>
      </c>
      <c r="H195" s="2">
        <v>45424.857630524908</v>
      </c>
      <c r="I195" t="s">
        <v>34</v>
      </c>
      <c r="J195" t="s">
        <v>433</v>
      </c>
    </row>
    <row r="196" spans="1:10" x14ac:dyDescent="0.3">
      <c r="A196" t="s">
        <v>434</v>
      </c>
      <c r="B196" t="s">
        <v>16</v>
      </c>
      <c r="C196" t="s">
        <v>29</v>
      </c>
      <c r="D196">
        <v>4</v>
      </c>
      <c r="E196">
        <v>54.68</v>
      </c>
      <c r="F196" t="str">
        <f t="shared" si="6"/>
        <v>2024-05</v>
      </c>
      <c r="G196">
        <f t="shared" si="7"/>
        <v>218.72</v>
      </c>
      <c r="H196" s="2">
        <v>45439.857630524908</v>
      </c>
      <c r="I196" t="s">
        <v>34</v>
      </c>
      <c r="J196" t="s">
        <v>435</v>
      </c>
    </row>
    <row r="197" spans="1:10" x14ac:dyDescent="0.3">
      <c r="A197" t="s">
        <v>436</v>
      </c>
      <c r="B197" t="s">
        <v>21</v>
      </c>
      <c r="C197" t="s">
        <v>30</v>
      </c>
      <c r="D197">
        <v>3</v>
      </c>
      <c r="E197">
        <v>25.53</v>
      </c>
      <c r="F197" t="str">
        <f t="shared" si="6"/>
        <v>2024-06</v>
      </c>
      <c r="G197">
        <f t="shared" si="7"/>
        <v>76.59</v>
      </c>
      <c r="H197" s="2">
        <v>45452.857630524908</v>
      </c>
      <c r="I197" t="s">
        <v>31</v>
      </c>
      <c r="J197" t="s">
        <v>437</v>
      </c>
    </row>
    <row r="198" spans="1:10" x14ac:dyDescent="0.3">
      <c r="A198" t="s">
        <v>438</v>
      </c>
      <c r="B198" t="s">
        <v>26</v>
      </c>
      <c r="C198" t="s">
        <v>28</v>
      </c>
      <c r="D198">
        <v>3</v>
      </c>
      <c r="E198">
        <v>37.5</v>
      </c>
      <c r="F198" t="str">
        <f t="shared" si="6"/>
        <v>2024-05</v>
      </c>
      <c r="G198">
        <f t="shared" si="7"/>
        <v>112.5</v>
      </c>
      <c r="H198" s="2">
        <v>45423.857630524908</v>
      </c>
      <c r="I198" t="s">
        <v>33</v>
      </c>
      <c r="J198" t="s">
        <v>439</v>
      </c>
    </row>
    <row r="199" spans="1:10" x14ac:dyDescent="0.3">
      <c r="A199" t="s">
        <v>440</v>
      </c>
      <c r="B199" t="s">
        <v>26</v>
      </c>
      <c r="C199" t="s">
        <v>28</v>
      </c>
      <c r="D199">
        <v>3</v>
      </c>
      <c r="E199">
        <v>57.72</v>
      </c>
      <c r="F199" t="str">
        <f t="shared" si="6"/>
        <v>2024-05</v>
      </c>
      <c r="G199">
        <f t="shared" si="7"/>
        <v>173.16</v>
      </c>
      <c r="H199" s="2">
        <v>45417.857630524908</v>
      </c>
      <c r="I199" t="s">
        <v>31</v>
      </c>
      <c r="J199" t="s">
        <v>441</v>
      </c>
    </row>
    <row r="200" spans="1:10" x14ac:dyDescent="0.3">
      <c r="A200" t="s">
        <v>442</v>
      </c>
      <c r="B200" t="s">
        <v>22</v>
      </c>
      <c r="C200" t="s">
        <v>30</v>
      </c>
      <c r="D200">
        <v>1</v>
      </c>
      <c r="E200">
        <v>36.64</v>
      </c>
      <c r="F200" t="str">
        <f t="shared" si="6"/>
        <v>2024-09</v>
      </c>
      <c r="G200">
        <f t="shared" si="7"/>
        <v>36.64</v>
      </c>
      <c r="H200" s="2">
        <v>45550.857630524908</v>
      </c>
      <c r="I200" t="s">
        <v>34</v>
      </c>
      <c r="J200" t="s">
        <v>443</v>
      </c>
    </row>
    <row r="201" spans="1:10" x14ac:dyDescent="0.3">
      <c r="A201" t="s">
        <v>444</v>
      </c>
      <c r="B201" t="s">
        <v>17</v>
      </c>
      <c r="C201" t="s">
        <v>29</v>
      </c>
      <c r="D201">
        <v>1</v>
      </c>
      <c r="E201">
        <v>15.3</v>
      </c>
      <c r="F201" t="str">
        <f t="shared" si="6"/>
        <v>2025-03</v>
      </c>
      <c r="G201">
        <f t="shared" si="7"/>
        <v>15.3</v>
      </c>
      <c r="H201" s="2">
        <v>45738.857630524908</v>
      </c>
      <c r="I201" t="s">
        <v>34</v>
      </c>
      <c r="J201" t="s">
        <v>445</v>
      </c>
    </row>
    <row r="202" spans="1:10" x14ac:dyDescent="0.3">
      <c r="A202" t="s">
        <v>446</v>
      </c>
      <c r="B202" t="s">
        <v>18</v>
      </c>
      <c r="C202" t="s">
        <v>29</v>
      </c>
      <c r="D202">
        <v>5</v>
      </c>
      <c r="E202">
        <v>57.45</v>
      </c>
      <c r="F202" t="str">
        <f t="shared" si="6"/>
        <v>2025-02</v>
      </c>
      <c r="G202">
        <f t="shared" si="7"/>
        <v>287.25</v>
      </c>
      <c r="H202" s="2">
        <v>45698.857630524908</v>
      </c>
      <c r="I202" t="s">
        <v>34</v>
      </c>
      <c r="J202" t="s">
        <v>447</v>
      </c>
    </row>
    <row r="203" spans="1:10" x14ac:dyDescent="0.3">
      <c r="A203" t="s">
        <v>448</v>
      </c>
      <c r="B203" t="s">
        <v>23</v>
      </c>
      <c r="C203" t="s">
        <v>28</v>
      </c>
      <c r="D203">
        <v>2</v>
      </c>
      <c r="E203">
        <v>50.67</v>
      </c>
      <c r="F203" t="str">
        <f t="shared" si="6"/>
        <v>2024-04</v>
      </c>
      <c r="G203">
        <f t="shared" si="7"/>
        <v>101.34</v>
      </c>
      <c r="H203" s="2">
        <v>45401.857630524908</v>
      </c>
      <c r="I203" t="s">
        <v>31</v>
      </c>
      <c r="J203" t="s">
        <v>449</v>
      </c>
    </row>
    <row r="204" spans="1:10" x14ac:dyDescent="0.3">
      <c r="A204" t="s">
        <v>450</v>
      </c>
      <c r="B204" t="s">
        <v>17</v>
      </c>
      <c r="C204" t="s">
        <v>29</v>
      </c>
      <c r="D204">
        <v>4</v>
      </c>
      <c r="E204">
        <v>15.49</v>
      </c>
      <c r="F204" t="str">
        <f t="shared" si="6"/>
        <v>2024-05</v>
      </c>
      <c r="G204">
        <f t="shared" si="7"/>
        <v>61.96</v>
      </c>
      <c r="H204" s="2">
        <v>45431.857630524908</v>
      </c>
      <c r="I204" t="s">
        <v>31</v>
      </c>
      <c r="J204" t="s">
        <v>451</v>
      </c>
    </row>
    <row r="205" spans="1:10" x14ac:dyDescent="0.3">
      <c r="A205" t="s">
        <v>452</v>
      </c>
      <c r="B205" t="s">
        <v>21</v>
      </c>
      <c r="C205" t="s">
        <v>30</v>
      </c>
      <c r="D205">
        <v>2</v>
      </c>
      <c r="E205">
        <v>57.59</v>
      </c>
      <c r="F205" t="str">
        <f t="shared" si="6"/>
        <v>2024-10</v>
      </c>
      <c r="G205">
        <f t="shared" si="7"/>
        <v>115.18</v>
      </c>
      <c r="H205" s="2">
        <v>45586.857630524908</v>
      </c>
      <c r="I205" t="s">
        <v>33</v>
      </c>
      <c r="J205" t="s">
        <v>453</v>
      </c>
    </row>
    <row r="206" spans="1:10" x14ac:dyDescent="0.3">
      <c r="A206" t="s">
        <v>454</v>
      </c>
      <c r="B206" t="s">
        <v>21</v>
      </c>
      <c r="C206" t="s">
        <v>30</v>
      </c>
      <c r="D206">
        <v>4</v>
      </c>
      <c r="E206">
        <v>35.82</v>
      </c>
      <c r="F206" t="str">
        <f t="shared" si="6"/>
        <v>2025-01</v>
      </c>
      <c r="G206">
        <f t="shared" si="7"/>
        <v>143.28</v>
      </c>
      <c r="H206" s="2">
        <v>45685.857630524908</v>
      </c>
      <c r="I206" t="s">
        <v>32</v>
      </c>
      <c r="J206" t="s">
        <v>455</v>
      </c>
    </row>
    <row r="207" spans="1:10" x14ac:dyDescent="0.3">
      <c r="A207" t="s">
        <v>456</v>
      </c>
      <c r="B207" t="s">
        <v>17</v>
      </c>
      <c r="C207" t="s">
        <v>29</v>
      </c>
      <c r="D207">
        <v>2</v>
      </c>
      <c r="E207">
        <v>22.86</v>
      </c>
      <c r="F207" t="str">
        <f t="shared" si="6"/>
        <v>2025-02</v>
      </c>
      <c r="G207">
        <f t="shared" si="7"/>
        <v>45.72</v>
      </c>
      <c r="H207" s="2">
        <v>45709.857630524908</v>
      </c>
      <c r="I207" t="s">
        <v>34</v>
      </c>
      <c r="J207" t="s">
        <v>457</v>
      </c>
    </row>
    <row r="208" spans="1:10" x14ac:dyDescent="0.3">
      <c r="A208" t="s">
        <v>458</v>
      </c>
      <c r="B208" t="s">
        <v>18</v>
      </c>
      <c r="C208" t="s">
        <v>29</v>
      </c>
      <c r="D208">
        <v>1</v>
      </c>
      <c r="E208">
        <v>16.239999999999998</v>
      </c>
      <c r="F208" t="str">
        <f t="shared" si="6"/>
        <v>2024-10</v>
      </c>
      <c r="G208">
        <f t="shared" si="7"/>
        <v>16.239999999999998</v>
      </c>
      <c r="H208" s="2">
        <v>45587.857630524908</v>
      </c>
      <c r="I208" t="s">
        <v>32</v>
      </c>
      <c r="J208" t="s">
        <v>459</v>
      </c>
    </row>
    <row r="209" spans="1:10" x14ac:dyDescent="0.3">
      <c r="A209" t="s">
        <v>460</v>
      </c>
      <c r="B209" t="s">
        <v>19</v>
      </c>
      <c r="C209" t="s">
        <v>28</v>
      </c>
      <c r="D209">
        <v>3</v>
      </c>
      <c r="E209">
        <v>36.270000000000003</v>
      </c>
      <c r="F209" t="str">
        <f t="shared" si="6"/>
        <v>2024-07</v>
      </c>
      <c r="G209">
        <f t="shared" si="7"/>
        <v>108.81</v>
      </c>
      <c r="H209" s="2">
        <v>45494.857630524908</v>
      </c>
      <c r="I209" t="s">
        <v>33</v>
      </c>
      <c r="J209" t="s">
        <v>461</v>
      </c>
    </row>
    <row r="210" spans="1:10" x14ac:dyDescent="0.3">
      <c r="A210" t="s">
        <v>462</v>
      </c>
      <c r="B210" t="s">
        <v>17</v>
      </c>
      <c r="C210" t="s">
        <v>29</v>
      </c>
      <c r="D210">
        <v>1</v>
      </c>
      <c r="E210">
        <v>40.369999999999997</v>
      </c>
      <c r="F210" t="str">
        <f t="shared" si="6"/>
        <v>2025-03</v>
      </c>
      <c r="G210">
        <f t="shared" si="7"/>
        <v>40.369999999999997</v>
      </c>
      <c r="H210" s="2">
        <v>45736.857630524908</v>
      </c>
      <c r="I210" t="s">
        <v>32</v>
      </c>
      <c r="J210" t="s">
        <v>463</v>
      </c>
    </row>
    <row r="211" spans="1:10" x14ac:dyDescent="0.3">
      <c r="A211" t="s">
        <v>464</v>
      </c>
      <c r="B211" t="s">
        <v>19</v>
      </c>
      <c r="C211" t="s">
        <v>28</v>
      </c>
      <c r="D211">
        <v>3</v>
      </c>
      <c r="E211">
        <v>50.59</v>
      </c>
      <c r="F211" t="str">
        <f t="shared" si="6"/>
        <v>2024-05</v>
      </c>
      <c r="G211">
        <f t="shared" si="7"/>
        <v>151.77000000000001</v>
      </c>
      <c r="H211" s="2">
        <v>45431.857630524908</v>
      </c>
      <c r="I211" t="s">
        <v>33</v>
      </c>
      <c r="J211" t="s">
        <v>465</v>
      </c>
    </row>
    <row r="212" spans="1:10" x14ac:dyDescent="0.3">
      <c r="A212" t="s">
        <v>466</v>
      </c>
      <c r="B212" t="s">
        <v>21</v>
      </c>
      <c r="C212" t="s">
        <v>30</v>
      </c>
      <c r="D212">
        <v>4</v>
      </c>
      <c r="E212">
        <v>55.91</v>
      </c>
      <c r="F212" t="str">
        <f t="shared" si="6"/>
        <v>2024-12</v>
      </c>
      <c r="G212">
        <f t="shared" si="7"/>
        <v>223.64</v>
      </c>
      <c r="H212" s="2">
        <v>45643.857630524908</v>
      </c>
      <c r="I212" t="s">
        <v>34</v>
      </c>
      <c r="J212" t="s">
        <v>467</v>
      </c>
    </row>
    <row r="213" spans="1:10" x14ac:dyDescent="0.3">
      <c r="A213" t="s">
        <v>468</v>
      </c>
      <c r="B213" t="s">
        <v>24</v>
      </c>
      <c r="C213" t="s">
        <v>28</v>
      </c>
      <c r="D213">
        <v>5</v>
      </c>
      <c r="E213">
        <v>46.07</v>
      </c>
      <c r="F213" t="str">
        <f t="shared" si="6"/>
        <v>2024-07</v>
      </c>
      <c r="G213">
        <f t="shared" si="7"/>
        <v>230.35</v>
      </c>
      <c r="H213" s="2">
        <v>45499.857630524908</v>
      </c>
      <c r="I213" t="s">
        <v>31</v>
      </c>
      <c r="J213" t="s">
        <v>469</v>
      </c>
    </row>
    <row r="214" spans="1:10" x14ac:dyDescent="0.3">
      <c r="A214" t="s">
        <v>470</v>
      </c>
      <c r="B214" t="s">
        <v>20</v>
      </c>
      <c r="C214" t="s">
        <v>30</v>
      </c>
      <c r="D214">
        <v>5</v>
      </c>
      <c r="E214">
        <v>27.14</v>
      </c>
      <c r="F214" t="str">
        <f t="shared" si="6"/>
        <v>2025-01</v>
      </c>
      <c r="G214">
        <f t="shared" si="7"/>
        <v>135.69999999999999</v>
      </c>
      <c r="H214" s="2">
        <v>45665.857630524908</v>
      </c>
      <c r="I214" t="s">
        <v>32</v>
      </c>
      <c r="J214" t="s">
        <v>471</v>
      </c>
    </row>
    <row r="215" spans="1:10" x14ac:dyDescent="0.3">
      <c r="A215" t="s">
        <v>472</v>
      </c>
      <c r="B215" t="s">
        <v>20</v>
      </c>
      <c r="C215" t="s">
        <v>30</v>
      </c>
      <c r="D215">
        <v>1</v>
      </c>
      <c r="E215">
        <v>30.91</v>
      </c>
      <c r="F215" t="str">
        <f t="shared" si="6"/>
        <v>2024-05</v>
      </c>
      <c r="G215">
        <f t="shared" si="7"/>
        <v>30.91</v>
      </c>
      <c r="H215" s="2">
        <v>45433.857630524908</v>
      </c>
      <c r="I215" t="s">
        <v>34</v>
      </c>
      <c r="J215" t="s">
        <v>473</v>
      </c>
    </row>
    <row r="216" spans="1:10" x14ac:dyDescent="0.3">
      <c r="A216" t="s">
        <v>474</v>
      </c>
      <c r="B216" t="s">
        <v>18</v>
      </c>
      <c r="C216" t="s">
        <v>29</v>
      </c>
      <c r="D216">
        <v>4</v>
      </c>
      <c r="E216">
        <v>37.49</v>
      </c>
      <c r="F216" t="str">
        <f t="shared" si="6"/>
        <v>2024-09</v>
      </c>
      <c r="G216">
        <f t="shared" si="7"/>
        <v>149.96</v>
      </c>
      <c r="H216" s="2">
        <v>45552.857630524908</v>
      </c>
      <c r="I216" t="s">
        <v>31</v>
      </c>
      <c r="J216" t="s">
        <v>475</v>
      </c>
    </row>
    <row r="217" spans="1:10" x14ac:dyDescent="0.3">
      <c r="A217" t="s">
        <v>476</v>
      </c>
      <c r="B217" t="s">
        <v>21</v>
      </c>
      <c r="C217" t="s">
        <v>30</v>
      </c>
      <c r="D217">
        <v>2</v>
      </c>
      <c r="E217">
        <v>19.11</v>
      </c>
      <c r="F217" t="str">
        <f t="shared" si="6"/>
        <v>2024-09</v>
      </c>
      <c r="G217">
        <f t="shared" si="7"/>
        <v>38.22</v>
      </c>
      <c r="H217" s="2">
        <v>45537.857630524908</v>
      </c>
      <c r="I217" t="s">
        <v>32</v>
      </c>
      <c r="J217" t="s">
        <v>477</v>
      </c>
    </row>
    <row r="218" spans="1:10" x14ac:dyDescent="0.3">
      <c r="A218" t="s">
        <v>478</v>
      </c>
      <c r="B218" t="s">
        <v>27</v>
      </c>
      <c r="C218" t="s">
        <v>28</v>
      </c>
      <c r="D218">
        <v>3</v>
      </c>
      <c r="E218">
        <v>24.21</v>
      </c>
      <c r="F218" t="str">
        <f t="shared" si="6"/>
        <v>2024-06</v>
      </c>
      <c r="G218">
        <f t="shared" si="7"/>
        <v>72.63</v>
      </c>
      <c r="H218" s="2">
        <v>45471.857630524908</v>
      </c>
      <c r="I218" t="s">
        <v>34</v>
      </c>
      <c r="J218" t="s">
        <v>479</v>
      </c>
    </row>
    <row r="219" spans="1:10" x14ac:dyDescent="0.3">
      <c r="A219" t="s">
        <v>480</v>
      </c>
      <c r="B219" t="s">
        <v>17</v>
      </c>
      <c r="C219" t="s">
        <v>29</v>
      </c>
      <c r="D219">
        <v>3</v>
      </c>
      <c r="E219">
        <v>54.19</v>
      </c>
      <c r="F219" t="str">
        <f t="shared" si="6"/>
        <v>2024-06</v>
      </c>
      <c r="G219">
        <f t="shared" si="7"/>
        <v>162.57</v>
      </c>
      <c r="H219" s="2">
        <v>45464.857630524908</v>
      </c>
      <c r="I219" t="s">
        <v>33</v>
      </c>
      <c r="J219" t="s">
        <v>481</v>
      </c>
    </row>
    <row r="220" spans="1:10" x14ac:dyDescent="0.3">
      <c r="A220" t="s">
        <v>482</v>
      </c>
      <c r="B220" t="s">
        <v>19</v>
      </c>
      <c r="C220" t="s">
        <v>28</v>
      </c>
      <c r="D220">
        <v>2</v>
      </c>
      <c r="E220">
        <v>52.88</v>
      </c>
      <c r="F220" t="str">
        <f t="shared" si="6"/>
        <v>2024-09</v>
      </c>
      <c r="G220">
        <f t="shared" si="7"/>
        <v>105.76</v>
      </c>
      <c r="H220" s="2">
        <v>45562.857630524908</v>
      </c>
      <c r="I220" t="s">
        <v>34</v>
      </c>
      <c r="J220" t="s">
        <v>483</v>
      </c>
    </row>
    <row r="221" spans="1:10" x14ac:dyDescent="0.3">
      <c r="A221" t="s">
        <v>484</v>
      </c>
      <c r="B221" t="s">
        <v>21</v>
      </c>
      <c r="C221" t="s">
        <v>30</v>
      </c>
      <c r="D221">
        <v>3</v>
      </c>
      <c r="E221">
        <v>10.17</v>
      </c>
      <c r="F221" t="str">
        <f t="shared" si="6"/>
        <v>2024-11</v>
      </c>
      <c r="G221">
        <f t="shared" si="7"/>
        <v>30.509999999999998</v>
      </c>
      <c r="H221" s="2">
        <v>45621.857630524908</v>
      </c>
      <c r="I221" t="s">
        <v>35</v>
      </c>
      <c r="J221" t="s">
        <v>485</v>
      </c>
    </row>
    <row r="222" spans="1:10" x14ac:dyDescent="0.3">
      <c r="A222" t="s">
        <v>486</v>
      </c>
      <c r="B222" t="s">
        <v>18</v>
      </c>
      <c r="C222" t="s">
        <v>29</v>
      </c>
      <c r="D222">
        <v>1</v>
      </c>
      <c r="E222">
        <v>33.53</v>
      </c>
      <c r="F222" t="str">
        <f t="shared" si="6"/>
        <v>2024-12</v>
      </c>
      <c r="G222">
        <f t="shared" si="7"/>
        <v>33.53</v>
      </c>
      <c r="H222" s="2">
        <v>45649.857630524908</v>
      </c>
      <c r="I222" t="s">
        <v>33</v>
      </c>
      <c r="J222" t="s">
        <v>487</v>
      </c>
    </row>
    <row r="223" spans="1:10" x14ac:dyDescent="0.3">
      <c r="A223" t="s">
        <v>488</v>
      </c>
      <c r="B223" t="s">
        <v>21</v>
      </c>
      <c r="C223" t="s">
        <v>30</v>
      </c>
      <c r="D223">
        <v>4</v>
      </c>
      <c r="E223">
        <v>15.54</v>
      </c>
      <c r="F223" t="str">
        <f t="shared" si="6"/>
        <v>2025-02</v>
      </c>
      <c r="G223">
        <f t="shared" si="7"/>
        <v>62.16</v>
      </c>
      <c r="H223" s="2">
        <v>45694.857630524908</v>
      </c>
      <c r="I223" t="s">
        <v>34</v>
      </c>
      <c r="J223" t="s">
        <v>489</v>
      </c>
    </row>
    <row r="224" spans="1:10" x14ac:dyDescent="0.3">
      <c r="A224" t="s">
        <v>490</v>
      </c>
      <c r="B224" t="s">
        <v>21</v>
      </c>
      <c r="C224" t="s">
        <v>30</v>
      </c>
      <c r="D224">
        <v>1</v>
      </c>
      <c r="E224">
        <v>14.45</v>
      </c>
      <c r="F224" t="str">
        <f t="shared" si="6"/>
        <v>2024-07</v>
      </c>
      <c r="G224">
        <f t="shared" si="7"/>
        <v>14.45</v>
      </c>
      <c r="H224" s="2">
        <v>45500.857630524908</v>
      </c>
      <c r="I224" t="s">
        <v>34</v>
      </c>
      <c r="J224" t="s">
        <v>491</v>
      </c>
    </row>
    <row r="225" spans="1:10" x14ac:dyDescent="0.3">
      <c r="A225" t="s">
        <v>492</v>
      </c>
      <c r="B225" t="s">
        <v>25</v>
      </c>
      <c r="C225" t="s">
        <v>30</v>
      </c>
      <c r="D225">
        <v>1</v>
      </c>
      <c r="E225">
        <v>27.24</v>
      </c>
      <c r="F225" t="str">
        <f t="shared" si="6"/>
        <v>2024-05</v>
      </c>
      <c r="G225">
        <f t="shared" si="7"/>
        <v>27.24</v>
      </c>
      <c r="H225" s="2">
        <v>45443.857630524908</v>
      </c>
      <c r="I225" t="s">
        <v>32</v>
      </c>
      <c r="J225" t="s">
        <v>493</v>
      </c>
    </row>
    <row r="226" spans="1:10" x14ac:dyDescent="0.3">
      <c r="A226" t="s">
        <v>494</v>
      </c>
      <c r="B226" t="s">
        <v>18</v>
      </c>
      <c r="C226" t="s">
        <v>29</v>
      </c>
      <c r="D226">
        <v>1</v>
      </c>
      <c r="E226">
        <v>24.04</v>
      </c>
      <c r="F226" t="str">
        <f t="shared" si="6"/>
        <v>2024-05</v>
      </c>
      <c r="G226">
        <f t="shared" si="7"/>
        <v>24.04</v>
      </c>
      <c r="H226" s="2">
        <v>45417.857630524908</v>
      </c>
      <c r="I226" t="s">
        <v>32</v>
      </c>
      <c r="J226" t="s">
        <v>495</v>
      </c>
    </row>
    <row r="227" spans="1:10" x14ac:dyDescent="0.3">
      <c r="A227" t="s">
        <v>496</v>
      </c>
      <c r="B227" t="s">
        <v>19</v>
      </c>
      <c r="C227" t="s">
        <v>28</v>
      </c>
      <c r="D227">
        <v>2</v>
      </c>
      <c r="E227">
        <v>45.16</v>
      </c>
      <c r="F227" t="str">
        <f t="shared" si="6"/>
        <v>2025-03</v>
      </c>
      <c r="G227">
        <f t="shared" si="7"/>
        <v>90.32</v>
      </c>
      <c r="H227" s="2">
        <v>45733.857630524908</v>
      </c>
      <c r="I227" t="s">
        <v>35</v>
      </c>
      <c r="J227" t="s">
        <v>497</v>
      </c>
    </row>
    <row r="228" spans="1:10" x14ac:dyDescent="0.3">
      <c r="A228" t="s">
        <v>498</v>
      </c>
      <c r="B228" t="s">
        <v>19</v>
      </c>
      <c r="C228" t="s">
        <v>28</v>
      </c>
      <c r="D228">
        <v>5</v>
      </c>
      <c r="E228">
        <v>41.71</v>
      </c>
      <c r="F228" t="str">
        <f t="shared" si="6"/>
        <v>2025-03</v>
      </c>
      <c r="G228">
        <f t="shared" si="7"/>
        <v>208.55</v>
      </c>
      <c r="H228" s="2">
        <v>45723.857630524908</v>
      </c>
      <c r="I228" t="s">
        <v>35</v>
      </c>
      <c r="J228" t="s">
        <v>499</v>
      </c>
    </row>
    <row r="229" spans="1:10" x14ac:dyDescent="0.3">
      <c r="A229" t="s">
        <v>500</v>
      </c>
      <c r="B229" t="s">
        <v>22</v>
      </c>
      <c r="C229" t="s">
        <v>30</v>
      </c>
      <c r="D229">
        <v>5</v>
      </c>
      <c r="E229">
        <v>43.52</v>
      </c>
      <c r="F229" t="str">
        <f t="shared" si="6"/>
        <v>2024-07</v>
      </c>
      <c r="G229">
        <f t="shared" si="7"/>
        <v>217.60000000000002</v>
      </c>
      <c r="H229" s="2">
        <v>45493.857630524908</v>
      </c>
      <c r="I229" t="s">
        <v>32</v>
      </c>
      <c r="J229" t="s">
        <v>501</v>
      </c>
    </row>
    <row r="230" spans="1:10" x14ac:dyDescent="0.3">
      <c r="A230" t="s">
        <v>502</v>
      </c>
      <c r="B230" t="s">
        <v>20</v>
      </c>
      <c r="C230" t="s">
        <v>30</v>
      </c>
      <c r="D230">
        <v>1</v>
      </c>
      <c r="E230">
        <v>43.79</v>
      </c>
      <c r="F230" t="str">
        <f t="shared" si="6"/>
        <v>2024-06</v>
      </c>
      <c r="G230">
        <f t="shared" si="7"/>
        <v>43.79</v>
      </c>
      <c r="H230" s="2">
        <v>45456.857630524908</v>
      </c>
      <c r="I230" t="s">
        <v>34</v>
      </c>
      <c r="J230" t="s">
        <v>503</v>
      </c>
    </row>
    <row r="231" spans="1:10" x14ac:dyDescent="0.3">
      <c r="A231" t="s">
        <v>504</v>
      </c>
      <c r="B231" t="s">
        <v>25</v>
      </c>
      <c r="C231" t="s">
        <v>30</v>
      </c>
      <c r="D231">
        <v>4</v>
      </c>
      <c r="E231">
        <v>34.4</v>
      </c>
      <c r="F231" t="str">
        <f t="shared" si="6"/>
        <v>2024-05</v>
      </c>
      <c r="G231">
        <f t="shared" si="7"/>
        <v>137.6</v>
      </c>
      <c r="H231" s="2">
        <v>45429.857630524908</v>
      </c>
      <c r="I231" t="s">
        <v>35</v>
      </c>
      <c r="J231" t="s">
        <v>505</v>
      </c>
    </row>
    <row r="232" spans="1:10" x14ac:dyDescent="0.3">
      <c r="A232" t="s">
        <v>506</v>
      </c>
      <c r="B232" t="s">
        <v>22</v>
      </c>
      <c r="C232" t="s">
        <v>30</v>
      </c>
      <c r="D232">
        <v>3</v>
      </c>
      <c r="E232">
        <v>17.98</v>
      </c>
      <c r="F232" t="str">
        <f t="shared" si="6"/>
        <v>2025-02</v>
      </c>
      <c r="G232">
        <f t="shared" si="7"/>
        <v>53.94</v>
      </c>
      <c r="H232" s="2">
        <v>45710.857630524908</v>
      </c>
      <c r="I232" t="s">
        <v>32</v>
      </c>
      <c r="J232" t="s">
        <v>507</v>
      </c>
    </row>
    <row r="233" spans="1:10" x14ac:dyDescent="0.3">
      <c r="A233" t="s">
        <v>508</v>
      </c>
      <c r="B233" t="s">
        <v>19</v>
      </c>
      <c r="C233" t="s">
        <v>28</v>
      </c>
      <c r="D233">
        <v>1</v>
      </c>
      <c r="E233">
        <v>24.25</v>
      </c>
      <c r="F233" t="str">
        <f t="shared" si="6"/>
        <v>2024-04</v>
      </c>
      <c r="G233">
        <f t="shared" si="7"/>
        <v>24.25</v>
      </c>
      <c r="H233" s="2">
        <v>45412.857630524908</v>
      </c>
      <c r="I233" t="s">
        <v>32</v>
      </c>
      <c r="J233" t="s">
        <v>509</v>
      </c>
    </row>
    <row r="234" spans="1:10" x14ac:dyDescent="0.3">
      <c r="A234" t="s">
        <v>510</v>
      </c>
      <c r="B234" t="s">
        <v>21</v>
      </c>
      <c r="C234" t="s">
        <v>30</v>
      </c>
      <c r="D234">
        <v>3</v>
      </c>
      <c r="E234">
        <v>13.83</v>
      </c>
      <c r="F234" t="str">
        <f t="shared" si="6"/>
        <v>2025-03</v>
      </c>
      <c r="G234">
        <f t="shared" si="7"/>
        <v>41.49</v>
      </c>
      <c r="H234" s="2">
        <v>45726.857630524908</v>
      </c>
      <c r="I234" t="s">
        <v>31</v>
      </c>
      <c r="J234" t="s">
        <v>511</v>
      </c>
    </row>
    <row r="235" spans="1:10" x14ac:dyDescent="0.3">
      <c r="A235" t="s">
        <v>512</v>
      </c>
      <c r="B235" t="s">
        <v>22</v>
      </c>
      <c r="C235" t="s">
        <v>30</v>
      </c>
      <c r="D235">
        <v>1</v>
      </c>
      <c r="E235">
        <v>38.42</v>
      </c>
      <c r="F235" t="str">
        <f t="shared" si="6"/>
        <v>2025-01</v>
      </c>
      <c r="G235">
        <f t="shared" si="7"/>
        <v>38.42</v>
      </c>
      <c r="H235" s="2">
        <v>45682.857630524908</v>
      </c>
      <c r="I235" t="s">
        <v>35</v>
      </c>
      <c r="J235" t="s">
        <v>513</v>
      </c>
    </row>
    <row r="236" spans="1:10" x14ac:dyDescent="0.3">
      <c r="A236" t="s">
        <v>514</v>
      </c>
      <c r="B236" t="s">
        <v>27</v>
      </c>
      <c r="C236" t="s">
        <v>28</v>
      </c>
      <c r="D236">
        <v>3</v>
      </c>
      <c r="E236">
        <v>45.43</v>
      </c>
      <c r="F236" t="str">
        <f t="shared" si="6"/>
        <v>2024-04</v>
      </c>
      <c r="G236">
        <f t="shared" si="7"/>
        <v>136.29</v>
      </c>
      <c r="H236" s="2">
        <v>45399.857630524908</v>
      </c>
      <c r="I236" t="s">
        <v>35</v>
      </c>
      <c r="J236" t="s">
        <v>515</v>
      </c>
    </row>
    <row r="237" spans="1:10" x14ac:dyDescent="0.3">
      <c r="A237" t="s">
        <v>516</v>
      </c>
      <c r="B237" t="s">
        <v>21</v>
      </c>
      <c r="C237" t="s">
        <v>30</v>
      </c>
      <c r="D237">
        <v>4</v>
      </c>
      <c r="E237">
        <v>33.06</v>
      </c>
      <c r="F237" t="str">
        <f t="shared" si="6"/>
        <v>2024-07</v>
      </c>
      <c r="G237">
        <f t="shared" si="7"/>
        <v>132.24</v>
      </c>
      <c r="H237" s="2">
        <v>45488.857630524908</v>
      </c>
      <c r="I237" t="s">
        <v>32</v>
      </c>
      <c r="J237" t="s">
        <v>517</v>
      </c>
    </row>
    <row r="238" spans="1:10" x14ac:dyDescent="0.3">
      <c r="A238" t="s">
        <v>518</v>
      </c>
      <c r="B238" t="s">
        <v>22</v>
      </c>
      <c r="C238" t="s">
        <v>30</v>
      </c>
      <c r="D238">
        <v>3</v>
      </c>
      <c r="E238">
        <v>24.62</v>
      </c>
      <c r="F238" t="str">
        <f t="shared" si="6"/>
        <v>2025-03</v>
      </c>
      <c r="G238">
        <f t="shared" si="7"/>
        <v>73.86</v>
      </c>
      <c r="H238" s="2">
        <v>45734.857630524908</v>
      </c>
      <c r="I238" t="s">
        <v>35</v>
      </c>
      <c r="J238" t="s">
        <v>519</v>
      </c>
    </row>
    <row r="239" spans="1:10" x14ac:dyDescent="0.3">
      <c r="A239" t="s">
        <v>520</v>
      </c>
      <c r="B239" t="s">
        <v>25</v>
      </c>
      <c r="C239" t="s">
        <v>30</v>
      </c>
      <c r="D239">
        <v>5</v>
      </c>
      <c r="E239">
        <v>47.36</v>
      </c>
      <c r="F239" t="str">
        <f t="shared" si="6"/>
        <v>2024-12</v>
      </c>
      <c r="G239">
        <f t="shared" si="7"/>
        <v>236.8</v>
      </c>
      <c r="H239" s="2">
        <v>45634.857630524908</v>
      </c>
      <c r="I239" t="s">
        <v>32</v>
      </c>
      <c r="J239" t="s">
        <v>521</v>
      </c>
    </row>
    <row r="240" spans="1:10" x14ac:dyDescent="0.3">
      <c r="A240" t="s">
        <v>522</v>
      </c>
      <c r="B240" t="s">
        <v>23</v>
      </c>
      <c r="C240" t="s">
        <v>28</v>
      </c>
      <c r="D240">
        <v>4</v>
      </c>
      <c r="E240">
        <v>33.04</v>
      </c>
      <c r="F240" t="str">
        <f t="shared" si="6"/>
        <v>2025-01</v>
      </c>
      <c r="G240">
        <f t="shared" si="7"/>
        <v>132.16</v>
      </c>
      <c r="H240" s="2">
        <v>45675.857630524908</v>
      </c>
      <c r="I240" t="s">
        <v>31</v>
      </c>
      <c r="J240" t="s">
        <v>523</v>
      </c>
    </row>
    <row r="241" spans="1:10" x14ac:dyDescent="0.3">
      <c r="A241" t="s">
        <v>524</v>
      </c>
      <c r="B241" t="s">
        <v>18</v>
      </c>
      <c r="C241" t="s">
        <v>29</v>
      </c>
      <c r="D241">
        <v>2</v>
      </c>
      <c r="E241">
        <v>41.9</v>
      </c>
      <c r="F241" t="str">
        <f t="shared" si="6"/>
        <v>2024-04</v>
      </c>
      <c r="G241">
        <f t="shared" si="7"/>
        <v>83.8</v>
      </c>
      <c r="H241" s="2">
        <v>45392.857630524908</v>
      </c>
      <c r="I241" t="s">
        <v>31</v>
      </c>
      <c r="J241" t="s">
        <v>525</v>
      </c>
    </row>
    <row r="242" spans="1:10" x14ac:dyDescent="0.3">
      <c r="A242" t="s">
        <v>526</v>
      </c>
      <c r="B242" t="s">
        <v>21</v>
      </c>
      <c r="C242" t="s">
        <v>30</v>
      </c>
      <c r="D242">
        <v>4</v>
      </c>
      <c r="E242">
        <v>10.84</v>
      </c>
      <c r="F242" t="str">
        <f t="shared" si="6"/>
        <v>2024-11</v>
      </c>
      <c r="G242">
        <f t="shared" si="7"/>
        <v>43.36</v>
      </c>
      <c r="H242" s="2">
        <v>45605.857630524908</v>
      </c>
      <c r="I242" t="s">
        <v>33</v>
      </c>
      <c r="J242" t="s">
        <v>527</v>
      </c>
    </row>
    <row r="243" spans="1:10" x14ac:dyDescent="0.3">
      <c r="A243" t="s">
        <v>528</v>
      </c>
      <c r="B243" t="s">
        <v>21</v>
      </c>
      <c r="C243" t="s">
        <v>30</v>
      </c>
      <c r="D243">
        <v>1</v>
      </c>
      <c r="E243">
        <v>12.04</v>
      </c>
      <c r="F243" t="str">
        <f t="shared" si="6"/>
        <v>2025-01</v>
      </c>
      <c r="G243">
        <f t="shared" si="7"/>
        <v>12.04</v>
      </c>
      <c r="H243" s="2">
        <v>45688.857630524908</v>
      </c>
      <c r="I243" t="s">
        <v>34</v>
      </c>
      <c r="J243" t="s">
        <v>529</v>
      </c>
    </row>
    <row r="244" spans="1:10" x14ac:dyDescent="0.3">
      <c r="A244" t="s">
        <v>530</v>
      </c>
      <c r="B244" t="s">
        <v>18</v>
      </c>
      <c r="C244" t="s">
        <v>29</v>
      </c>
      <c r="D244">
        <v>5</v>
      </c>
      <c r="E244">
        <v>31.09</v>
      </c>
      <c r="F244" t="str">
        <f t="shared" si="6"/>
        <v>2024-08</v>
      </c>
      <c r="G244">
        <f t="shared" si="7"/>
        <v>155.44999999999999</v>
      </c>
      <c r="H244" s="2">
        <v>45529.857630524908</v>
      </c>
      <c r="I244" t="s">
        <v>32</v>
      </c>
      <c r="J244" t="s">
        <v>531</v>
      </c>
    </row>
    <row r="245" spans="1:10" x14ac:dyDescent="0.3">
      <c r="A245" t="s">
        <v>532</v>
      </c>
      <c r="B245" t="s">
        <v>18</v>
      </c>
      <c r="C245" t="s">
        <v>29</v>
      </c>
      <c r="D245">
        <v>1</v>
      </c>
      <c r="E245">
        <v>15.23</v>
      </c>
      <c r="F245" t="str">
        <f t="shared" si="6"/>
        <v>2024-08</v>
      </c>
      <c r="G245">
        <f t="shared" si="7"/>
        <v>15.23</v>
      </c>
      <c r="H245" s="2">
        <v>45520.857630524908</v>
      </c>
      <c r="I245" t="s">
        <v>34</v>
      </c>
      <c r="J245" t="s">
        <v>533</v>
      </c>
    </row>
    <row r="246" spans="1:10" x14ac:dyDescent="0.3">
      <c r="A246" t="s">
        <v>534</v>
      </c>
      <c r="B246" t="s">
        <v>20</v>
      </c>
      <c r="C246" t="s">
        <v>30</v>
      </c>
      <c r="D246">
        <v>2</v>
      </c>
      <c r="E246">
        <v>40.97</v>
      </c>
      <c r="F246" t="str">
        <f t="shared" si="6"/>
        <v>2025-03</v>
      </c>
      <c r="G246">
        <f t="shared" si="7"/>
        <v>81.94</v>
      </c>
      <c r="H246" s="2">
        <v>45746.857630524908</v>
      </c>
      <c r="I246" t="s">
        <v>35</v>
      </c>
      <c r="J246" t="s">
        <v>535</v>
      </c>
    </row>
    <row r="247" spans="1:10" x14ac:dyDescent="0.3">
      <c r="A247" t="s">
        <v>536</v>
      </c>
      <c r="B247" t="s">
        <v>22</v>
      </c>
      <c r="C247" t="s">
        <v>30</v>
      </c>
      <c r="D247">
        <v>5</v>
      </c>
      <c r="E247">
        <v>18.66</v>
      </c>
      <c r="F247" t="str">
        <f t="shared" si="6"/>
        <v>2024-10</v>
      </c>
      <c r="G247">
        <f t="shared" si="7"/>
        <v>93.3</v>
      </c>
      <c r="H247" s="2">
        <v>45568.857630524908</v>
      </c>
      <c r="I247" t="s">
        <v>33</v>
      </c>
      <c r="J247" t="s">
        <v>537</v>
      </c>
    </row>
    <row r="248" spans="1:10" x14ac:dyDescent="0.3">
      <c r="A248" t="s">
        <v>538</v>
      </c>
      <c r="B248" t="s">
        <v>20</v>
      </c>
      <c r="C248" t="s">
        <v>30</v>
      </c>
      <c r="D248">
        <v>4</v>
      </c>
      <c r="E248">
        <v>45.74</v>
      </c>
      <c r="F248" t="str">
        <f t="shared" si="6"/>
        <v>2024-07</v>
      </c>
      <c r="G248">
        <f t="shared" si="7"/>
        <v>182.96</v>
      </c>
      <c r="H248" s="2">
        <v>45475.857630524908</v>
      </c>
      <c r="I248" t="s">
        <v>32</v>
      </c>
      <c r="J248" t="s">
        <v>539</v>
      </c>
    </row>
    <row r="249" spans="1:10" x14ac:dyDescent="0.3">
      <c r="A249" t="s">
        <v>540</v>
      </c>
      <c r="B249" t="s">
        <v>16</v>
      </c>
      <c r="C249" t="s">
        <v>29</v>
      </c>
      <c r="D249">
        <v>5</v>
      </c>
      <c r="E249">
        <v>42.12</v>
      </c>
      <c r="F249" t="str">
        <f t="shared" si="6"/>
        <v>2024-06</v>
      </c>
      <c r="G249">
        <f t="shared" si="7"/>
        <v>210.6</v>
      </c>
      <c r="H249" s="2">
        <v>45466.857630524908</v>
      </c>
      <c r="I249" t="s">
        <v>33</v>
      </c>
      <c r="J249" t="s">
        <v>541</v>
      </c>
    </row>
    <row r="250" spans="1:10" x14ac:dyDescent="0.3">
      <c r="A250" t="s">
        <v>542</v>
      </c>
      <c r="B250" t="s">
        <v>16</v>
      </c>
      <c r="C250" t="s">
        <v>29</v>
      </c>
      <c r="D250">
        <v>1</v>
      </c>
      <c r="E250">
        <v>54.42</v>
      </c>
      <c r="F250" t="str">
        <f t="shared" si="6"/>
        <v>2024-09</v>
      </c>
      <c r="G250">
        <f t="shared" si="7"/>
        <v>54.42</v>
      </c>
      <c r="H250" s="2">
        <v>45556.857630524908</v>
      </c>
      <c r="I250" t="s">
        <v>33</v>
      </c>
      <c r="J250" t="s">
        <v>543</v>
      </c>
    </row>
    <row r="251" spans="1:10" x14ac:dyDescent="0.3">
      <c r="A251" t="s">
        <v>544</v>
      </c>
      <c r="B251" t="s">
        <v>21</v>
      </c>
      <c r="C251" t="s">
        <v>30</v>
      </c>
      <c r="D251">
        <v>5</v>
      </c>
      <c r="E251">
        <v>51.48</v>
      </c>
      <c r="F251" t="str">
        <f t="shared" si="6"/>
        <v>2024-09</v>
      </c>
      <c r="G251">
        <f t="shared" si="7"/>
        <v>257.39999999999998</v>
      </c>
      <c r="H251" s="2">
        <v>45540.857630524908</v>
      </c>
      <c r="I251" t="s">
        <v>31</v>
      </c>
      <c r="J251" t="s">
        <v>545</v>
      </c>
    </row>
    <row r="252" spans="1:10" x14ac:dyDescent="0.3">
      <c r="A252" t="s">
        <v>546</v>
      </c>
      <c r="B252" t="s">
        <v>22</v>
      </c>
      <c r="C252" t="s">
        <v>30</v>
      </c>
      <c r="D252">
        <v>1</v>
      </c>
      <c r="E252">
        <v>38.909999999999997</v>
      </c>
      <c r="F252" t="str">
        <f t="shared" si="6"/>
        <v>2025-03</v>
      </c>
      <c r="G252">
        <f t="shared" si="7"/>
        <v>38.909999999999997</v>
      </c>
      <c r="H252" s="2">
        <v>45739.857630524908</v>
      </c>
      <c r="I252" t="s">
        <v>35</v>
      </c>
      <c r="J252" t="s">
        <v>547</v>
      </c>
    </row>
    <row r="253" spans="1:10" x14ac:dyDescent="0.3">
      <c r="A253" t="s">
        <v>548</v>
      </c>
      <c r="B253" t="s">
        <v>23</v>
      </c>
      <c r="C253" t="s">
        <v>28</v>
      </c>
      <c r="D253">
        <v>5</v>
      </c>
      <c r="E253">
        <v>37.619999999999997</v>
      </c>
      <c r="F253" t="str">
        <f t="shared" si="6"/>
        <v>2024-08</v>
      </c>
      <c r="G253">
        <f t="shared" si="7"/>
        <v>188.1</v>
      </c>
      <c r="H253" s="2">
        <v>45531.857630524908</v>
      </c>
      <c r="I253" t="s">
        <v>34</v>
      </c>
      <c r="J253" t="s">
        <v>549</v>
      </c>
    </row>
    <row r="254" spans="1:10" x14ac:dyDescent="0.3">
      <c r="A254" t="s">
        <v>550</v>
      </c>
      <c r="B254" t="s">
        <v>21</v>
      </c>
      <c r="C254" t="s">
        <v>30</v>
      </c>
      <c r="D254">
        <v>3</v>
      </c>
      <c r="E254">
        <v>39.619999999999997</v>
      </c>
      <c r="F254" t="str">
        <f t="shared" si="6"/>
        <v>2024-11</v>
      </c>
      <c r="G254">
        <f t="shared" si="7"/>
        <v>118.85999999999999</v>
      </c>
      <c r="H254" s="2">
        <v>45625.857630524908</v>
      </c>
      <c r="I254" t="s">
        <v>31</v>
      </c>
      <c r="J254" t="s">
        <v>551</v>
      </c>
    </row>
    <row r="255" spans="1:10" x14ac:dyDescent="0.3">
      <c r="A255" t="s">
        <v>552</v>
      </c>
      <c r="B255" t="s">
        <v>27</v>
      </c>
      <c r="C255" t="s">
        <v>28</v>
      </c>
      <c r="D255">
        <v>3</v>
      </c>
      <c r="E255">
        <v>40.68</v>
      </c>
      <c r="F255" t="str">
        <f t="shared" si="6"/>
        <v>2024-04</v>
      </c>
      <c r="G255">
        <f t="shared" si="7"/>
        <v>122.03999999999999</v>
      </c>
      <c r="H255" s="2">
        <v>45403.857630524908</v>
      </c>
      <c r="I255" t="s">
        <v>31</v>
      </c>
      <c r="J255" t="s">
        <v>553</v>
      </c>
    </row>
    <row r="256" spans="1:10" x14ac:dyDescent="0.3">
      <c r="A256" t="s">
        <v>554</v>
      </c>
      <c r="B256" t="s">
        <v>23</v>
      </c>
      <c r="C256" t="s">
        <v>28</v>
      </c>
      <c r="D256">
        <v>4</v>
      </c>
      <c r="E256">
        <v>24.31</v>
      </c>
      <c r="F256" t="str">
        <f t="shared" si="6"/>
        <v>2025-01</v>
      </c>
      <c r="G256">
        <f t="shared" si="7"/>
        <v>97.24</v>
      </c>
      <c r="H256" s="2">
        <v>45670.857630524908</v>
      </c>
      <c r="I256" t="s">
        <v>35</v>
      </c>
      <c r="J256" t="s">
        <v>555</v>
      </c>
    </row>
    <row r="257" spans="1:10" x14ac:dyDescent="0.3">
      <c r="A257" t="s">
        <v>556</v>
      </c>
      <c r="B257" t="s">
        <v>23</v>
      </c>
      <c r="C257" t="s">
        <v>28</v>
      </c>
      <c r="D257">
        <v>3</v>
      </c>
      <c r="E257">
        <v>11.64</v>
      </c>
      <c r="F257" t="str">
        <f t="shared" si="6"/>
        <v>2024-11</v>
      </c>
      <c r="G257">
        <f t="shared" si="7"/>
        <v>34.92</v>
      </c>
      <c r="H257" s="2">
        <v>45619.857630524908</v>
      </c>
      <c r="I257" t="s">
        <v>34</v>
      </c>
      <c r="J257" t="s">
        <v>557</v>
      </c>
    </row>
    <row r="258" spans="1:10" x14ac:dyDescent="0.3">
      <c r="A258" t="s">
        <v>558</v>
      </c>
      <c r="B258" t="s">
        <v>23</v>
      </c>
      <c r="C258" t="s">
        <v>28</v>
      </c>
      <c r="D258">
        <v>2</v>
      </c>
      <c r="E258">
        <v>26.52</v>
      </c>
      <c r="F258" t="str">
        <f t="shared" si="6"/>
        <v>2024-05</v>
      </c>
      <c r="G258">
        <f t="shared" si="7"/>
        <v>53.04</v>
      </c>
      <c r="H258" s="2">
        <v>45430.857630524908</v>
      </c>
      <c r="I258" t="s">
        <v>35</v>
      </c>
      <c r="J258" t="s">
        <v>559</v>
      </c>
    </row>
    <row r="259" spans="1:10" x14ac:dyDescent="0.3">
      <c r="A259" t="s">
        <v>560</v>
      </c>
      <c r="B259" t="s">
        <v>18</v>
      </c>
      <c r="C259" t="s">
        <v>29</v>
      </c>
      <c r="D259">
        <v>1</v>
      </c>
      <c r="E259">
        <v>12.62</v>
      </c>
      <c r="F259" t="str">
        <f t="shared" ref="F259:F322" si="8">TEXT(H259, "yyyy-mm")</f>
        <v>2024-04</v>
      </c>
      <c r="G259">
        <f t="shared" ref="G259:G322" si="9">D259*E259</f>
        <v>12.62</v>
      </c>
      <c r="H259" s="2">
        <v>45402.857630524908</v>
      </c>
      <c r="I259" t="s">
        <v>31</v>
      </c>
      <c r="J259" t="s">
        <v>561</v>
      </c>
    </row>
    <row r="260" spans="1:10" x14ac:dyDescent="0.3">
      <c r="A260" t="s">
        <v>562</v>
      </c>
      <c r="B260" t="s">
        <v>17</v>
      </c>
      <c r="C260" t="s">
        <v>29</v>
      </c>
      <c r="D260">
        <v>1</v>
      </c>
      <c r="E260">
        <v>10.61</v>
      </c>
      <c r="F260" t="str">
        <f t="shared" si="8"/>
        <v>2024-12</v>
      </c>
      <c r="G260">
        <f t="shared" si="9"/>
        <v>10.61</v>
      </c>
      <c r="H260" s="2">
        <v>45657.857630524908</v>
      </c>
      <c r="I260" t="s">
        <v>35</v>
      </c>
      <c r="J260" t="s">
        <v>563</v>
      </c>
    </row>
    <row r="261" spans="1:10" x14ac:dyDescent="0.3">
      <c r="A261" t="s">
        <v>564</v>
      </c>
      <c r="B261" t="s">
        <v>23</v>
      </c>
      <c r="C261" t="s">
        <v>28</v>
      </c>
      <c r="D261">
        <v>1</v>
      </c>
      <c r="E261">
        <v>34.299999999999997</v>
      </c>
      <c r="F261" t="str">
        <f t="shared" si="8"/>
        <v>2024-12</v>
      </c>
      <c r="G261">
        <f t="shared" si="9"/>
        <v>34.299999999999997</v>
      </c>
      <c r="H261" s="2">
        <v>45643.857630524908</v>
      </c>
      <c r="I261" t="s">
        <v>32</v>
      </c>
      <c r="J261" t="s">
        <v>565</v>
      </c>
    </row>
    <row r="262" spans="1:10" x14ac:dyDescent="0.3">
      <c r="A262" t="s">
        <v>566</v>
      </c>
      <c r="B262" t="s">
        <v>26</v>
      </c>
      <c r="C262" t="s">
        <v>28</v>
      </c>
      <c r="D262">
        <v>3</v>
      </c>
      <c r="E262">
        <v>56.36</v>
      </c>
      <c r="F262" t="str">
        <f t="shared" si="8"/>
        <v>2024-09</v>
      </c>
      <c r="G262">
        <f t="shared" si="9"/>
        <v>169.07999999999998</v>
      </c>
      <c r="H262" s="2">
        <v>45555.857630524908</v>
      </c>
      <c r="I262" t="s">
        <v>32</v>
      </c>
      <c r="J262" t="s">
        <v>567</v>
      </c>
    </row>
    <row r="263" spans="1:10" x14ac:dyDescent="0.3">
      <c r="A263" t="s">
        <v>568</v>
      </c>
      <c r="B263" t="s">
        <v>20</v>
      </c>
      <c r="C263" t="s">
        <v>30</v>
      </c>
      <c r="D263">
        <v>5</v>
      </c>
      <c r="E263">
        <v>55.21</v>
      </c>
      <c r="F263" t="str">
        <f t="shared" si="8"/>
        <v>2024-06</v>
      </c>
      <c r="G263">
        <f t="shared" si="9"/>
        <v>276.05</v>
      </c>
      <c r="H263" s="2">
        <v>45465.857630524908</v>
      </c>
      <c r="I263" t="s">
        <v>33</v>
      </c>
      <c r="J263" t="s">
        <v>569</v>
      </c>
    </row>
    <row r="264" spans="1:10" x14ac:dyDescent="0.3">
      <c r="A264" t="s">
        <v>570</v>
      </c>
      <c r="B264" t="s">
        <v>22</v>
      </c>
      <c r="C264" t="s">
        <v>30</v>
      </c>
      <c r="D264">
        <v>4</v>
      </c>
      <c r="E264">
        <v>24.92</v>
      </c>
      <c r="F264" t="str">
        <f t="shared" si="8"/>
        <v>2024-10</v>
      </c>
      <c r="G264">
        <f t="shared" si="9"/>
        <v>99.68</v>
      </c>
      <c r="H264" s="2">
        <v>45567.857630524908</v>
      </c>
      <c r="I264" t="s">
        <v>32</v>
      </c>
      <c r="J264" t="s">
        <v>571</v>
      </c>
    </row>
    <row r="265" spans="1:10" x14ac:dyDescent="0.3">
      <c r="A265" t="s">
        <v>572</v>
      </c>
      <c r="B265" t="s">
        <v>19</v>
      </c>
      <c r="C265" t="s">
        <v>28</v>
      </c>
      <c r="D265">
        <v>1</v>
      </c>
      <c r="E265">
        <v>43.42</v>
      </c>
      <c r="F265" t="str">
        <f t="shared" si="8"/>
        <v>2024-11</v>
      </c>
      <c r="G265">
        <f t="shared" si="9"/>
        <v>43.42</v>
      </c>
      <c r="H265" s="2">
        <v>45600.857630524908</v>
      </c>
      <c r="I265" t="s">
        <v>35</v>
      </c>
      <c r="J265" t="s">
        <v>573</v>
      </c>
    </row>
    <row r="266" spans="1:10" x14ac:dyDescent="0.3">
      <c r="A266" t="s">
        <v>574</v>
      </c>
      <c r="B266" t="s">
        <v>27</v>
      </c>
      <c r="C266" t="s">
        <v>28</v>
      </c>
      <c r="D266">
        <v>3</v>
      </c>
      <c r="E266">
        <v>23.86</v>
      </c>
      <c r="F266" t="str">
        <f t="shared" si="8"/>
        <v>2025-03</v>
      </c>
      <c r="G266">
        <f t="shared" si="9"/>
        <v>71.58</v>
      </c>
      <c r="H266" s="2">
        <v>45732.857630524908</v>
      </c>
      <c r="I266" t="s">
        <v>35</v>
      </c>
      <c r="J266" t="s">
        <v>575</v>
      </c>
    </row>
    <row r="267" spans="1:10" x14ac:dyDescent="0.3">
      <c r="A267" t="s">
        <v>576</v>
      </c>
      <c r="B267" t="s">
        <v>21</v>
      </c>
      <c r="C267" t="s">
        <v>30</v>
      </c>
      <c r="D267">
        <v>5</v>
      </c>
      <c r="E267">
        <v>47.65</v>
      </c>
      <c r="F267" t="str">
        <f t="shared" si="8"/>
        <v>2025-02</v>
      </c>
      <c r="G267">
        <f t="shared" si="9"/>
        <v>238.25</v>
      </c>
      <c r="H267" s="2">
        <v>45698.857630524908</v>
      </c>
      <c r="I267" t="s">
        <v>34</v>
      </c>
      <c r="J267" t="s">
        <v>577</v>
      </c>
    </row>
    <row r="268" spans="1:10" x14ac:dyDescent="0.3">
      <c r="A268" t="s">
        <v>578</v>
      </c>
      <c r="B268" t="s">
        <v>21</v>
      </c>
      <c r="C268" t="s">
        <v>30</v>
      </c>
      <c r="D268">
        <v>4</v>
      </c>
      <c r="E268">
        <v>24.56</v>
      </c>
      <c r="F268" t="str">
        <f t="shared" si="8"/>
        <v>2024-05</v>
      </c>
      <c r="G268">
        <f t="shared" si="9"/>
        <v>98.24</v>
      </c>
      <c r="H268" s="2">
        <v>45442.857630524908</v>
      </c>
      <c r="I268" t="s">
        <v>33</v>
      </c>
      <c r="J268" t="s">
        <v>579</v>
      </c>
    </row>
    <row r="269" spans="1:10" x14ac:dyDescent="0.3">
      <c r="A269" t="s">
        <v>580</v>
      </c>
      <c r="B269" t="s">
        <v>16</v>
      </c>
      <c r="C269" t="s">
        <v>29</v>
      </c>
      <c r="D269">
        <v>4</v>
      </c>
      <c r="E269">
        <v>36.96</v>
      </c>
      <c r="F269" t="str">
        <f t="shared" si="8"/>
        <v>2025-03</v>
      </c>
      <c r="G269">
        <f t="shared" si="9"/>
        <v>147.84</v>
      </c>
      <c r="H269" s="2">
        <v>45732.857630524908</v>
      </c>
      <c r="I269" t="s">
        <v>33</v>
      </c>
      <c r="J269" t="s">
        <v>581</v>
      </c>
    </row>
    <row r="270" spans="1:10" x14ac:dyDescent="0.3">
      <c r="A270" t="s">
        <v>582</v>
      </c>
      <c r="B270" t="s">
        <v>22</v>
      </c>
      <c r="C270" t="s">
        <v>30</v>
      </c>
      <c r="D270">
        <v>5</v>
      </c>
      <c r="E270">
        <v>32.729999999999997</v>
      </c>
      <c r="F270" t="str">
        <f t="shared" si="8"/>
        <v>2024-10</v>
      </c>
      <c r="G270">
        <f t="shared" si="9"/>
        <v>163.64999999999998</v>
      </c>
      <c r="H270" s="2">
        <v>45568.857630524908</v>
      </c>
      <c r="I270" t="s">
        <v>35</v>
      </c>
      <c r="J270" t="s">
        <v>583</v>
      </c>
    </row>
    <row r="271" spans="1:10" x14ac:dyDescent="0.3">
      <c r="A271" t="s">
        <v>584</v>
      </c>
      <c r="B271" t="s">
        <v>24</v>
      </c>
      <c r="C271" t="s">
        <v>28</v>
      </c>
      <c r="D271">
        <v>5</v>
      </c>
      <c r="E271">
        <v>26.86</v>
      </c>
      <c r="F271" t="str">
        <f t="shared" si="8"/>
        <v>2025-01</v>
      </c>
      <c r="G271">
        <f t="shared" si="9"/>
        <v>134.30000000000001</v>
      </c>
      <c r="H271" s="2">
        <v>45661.857630524908</v>
      </c>
      <c r="I271" t="s">
        <v>32</v>
      </c>
      <c r="J271" t="s">
        <v>585</v>
      </c>
    </row>
    <row r="272" spans="1:10" x14ac:dyDescent="0.3">
      <c r="A272" t="s">
        <v>586</v>
      </c>
      <c r="B272" t="s">
        <v>25</v>
      </c>
      <c r="C272" t="s">
        <v>30</v>
      </c>
      <c r="D272">
        <v>1</v>
      </c>
      <c r="E272">
        <v>14.79</v>
      </c>
      <c r="F272" t="str">
        <f t="shared" si="8"/>
        <v>2025-01</v>
      </c>
      <c r="G272">
        <f t="shared" si="9"/>
        <v>14.79</v>
      </c>
      <c r="H272" s="2">
        <v>45662.857630524908</v>
      </c>
      <c r="I272" t="s">
        <v>35</v>
      </c>
      <c r="J272" t="s">
        <v>587</v>
      </c>
    </row>
    <row r="273" spans="1:10" x14ac:dyDescent="0.3">
      <c r="A273" t="s">
        <v>588</v>
      </c>
      <c r="B273" t="s">
        <v>19</v>
      </c>
      <c r="C273" t="s">
        <v>28</v>
      </c>
      <c r="D273">
        <v>2</v>
      </c>
      <c r="E273">
        <v>40.729999999999997</v>
      </c>
      <c r="F273" t="str">
        <f t="shared" si="8"/>
        <v>2024-12</v>
      </c>
      <c r="G273">
        <f t="shared" si="9"/>
        <v>81.459999999999994</v>
      </c>
      <c r="H273" s="2">
        <v>45641.857630524908</v>
      </c>
      <c r="I273" t="s">
        <v>32</v>
      </c>
      <c r="J273" t="s">
        <v>589</v>
      </c>
    </row>
    <row r="274" spans="1:10" x14ac:dyDescent="0.3">
      <c r="A274" t="s">
        <v>590</v>
      </c>
      <c r="B274" t="s">
        <v>18</v>
      </c>
      <c r="C274" t="s">
        <v>29</v>
      </c>
      <c r="D274">
        <v>3</v>
      </c>
      <c r="E274">
        <v>17.190000000000001</v>
      </c>
      <c r="F274" t="str">
        <f t="shared" si="8"/>
        <v>2024-07</v>
      </c>
      <c r="G274">
        <f t="shared" si="9"/>
        <v>51.570000000000007</v>
      </c>
      <c r="H274" s="2">
        <v>45503.857630524908</v>
      </c>
      <c r="I274" t="s">
        <v>31</v>
      </c>
      <c r="J274" t="s">
        <v>591</v>
      </c>
    </row>
    <row r="275" spans="1:10" x14ac:dyDescent="0.3">
      <c r="A275" t="s">
        <v>592</v>
      </c>
      <c r="B275" t="s">
        <v>21</v>
      </c>
      <c r="C275" t="s">
        <v>30</v>
      </c>
      <c r="D275">
        <v>3</v>
      </c>
      <c r="E275">
        <v>11.11</v>
      </c>
      <c r="F275" t="str">
        <f t="shared" si="8"/>
        <v>2024-04</v>
      </c>
      <c r="G275">
        <f t="shared" si="9"/>
        <v>33.33</v>
      </c>
      <c r="H275" s="2">
        <v>45406.857630524908</v>
      </c>
      <c r="I275" t="s">
        <v>34</v>
      </c>
      <c r="J275" t="s">
        <v>593</v>
      </c>
    </row>
    <row r="276" spans="1:10" x14ac:dyDescent="0.3">
      <c r="A276" t="s">
        <v>594</v>
      </c>
      <c r="B276" t="s">
        <v>19</v>
      </c>
      <c r="C276" t="s">
        <v>28</v>
      </c>
      <c r="D276">
        <v>4</v>
      </c>
      <c r="E276">
        <v>32.24</v>
      </c>
      <c r="F276" t="str">
        <f t="shared" si="8"/>
        <v>2025-01</v>
      </c>
      <c r="G276">
        <f t="shared" si="9"/>
        <v>128.96</v>
      </c>
      <c r="H276" s="2">
        <v>45665.857630524908</v>
      </c>
      <c r="I276" t="s">
        <v>32</v>
      </c>
      <c r="J276" t="s">
        <v>595</v>
      </c>
    </row>
    <row r="277" spans="1:10" x14ac:dyDescent="0.3">
      <c r="A277" t="s">
        <v>596</v>
      </c>
      <c r="B277" t="s">
        <v>19</v>
      </c>
      <c r="C277" t="s">
        <v>28</v>
      </c>
      <c r="D277">
        <v>1</v>
      </c>
      <c r="E277">
        <v>58.16</v>
      </c>
      <c r="F277" t="str">
        <f t="shared" si="8"/>
        <v>2025-02</v>
      </c>
      <c r="G277">
        <f t="shared" si="9"/>
        <v>58.16</v>
      </c>
      <c r="H277" s="2">
        <v>45712.857630524908</v>
      </c>
      <c r="I277" t="s">
        <v>35</v>
      </c>
      <c r="J277" t="s">
        <v>597</v>
      </c>
    </row>
    <row r="278" spans="1:10" x14ac:dyDescent="0.3">
      <c r="A278" t="s">
        <v>598</v>
      </c>
      <c r="B278" t="s">
        <v>16</v>
      </c>
      <c r="C278" t="s">
        <v>29</v>
      </c>
      <c r="D278">
        <v>4</v>
      </c>
      <c r="E278">
        <v>40.590000000000003</v>
      </c>
      <c r="F278" t="str">
        <f t="shared" si="8"/>
        <v>2024-09</v>
      </c>
      <c r="G278">
        <f t="shared" si="9"/>
        <v>162.36000000000001</v>
      </c>
      <c r="H278" s="2">
        <v>45552.857630524908</v>
      </c>
      <c r="I278" t="s">
        <v>32</v>
      </c>
      <c r="J278" t="s">
        <v>599</v>
      </c>
    </row>
    <row r="279" spans="1:10" x14ac:dyDescent="0.3">
      <c r="A279" t="s">
        <v>600</v>
      </c>
      <c r="B279" t="s">
        <v>26</v>
      </c>
      <c r="C279" t="s">
        <v>28</v>
      </c>
      <c r="D279">
        <v>4</v>
      </c>
      <c r="E279">
        <v>30.99</v>
      </c>
      <c r="F279" t="str">
        <f t="shared" si="8"/>
        <v>2024-11</v>
      </c>
      <c r="G279">
        <f t="shared" si="9"/>
        <v>123.96</v>
      </c>
      <c r="H279" s="2">
        <v>45612.857630524908</v>
      </c>
      <c r="I279" t="s">
        <v>31</v>
      </c>
      <c r="J279" t="s">
        <v>601</v>
      </c>
    </row>
    <row r="280" spans="1:10" x14ac:dyDescent="0.3">
      <c r="A280" t="s">
        <v>602</v>
      </c>
      <c r="B280" t="s">
        <v>21</v>
      </c>
      <c r="C280" t="s">
        <v>30</v>
      </c>
      <c r="D280">
        <v>5</v>
      </c>
      <c r="E280">
        <v>24.21</v>
      </c>
      <c r="F280" t="str">
        <f t="shared" si="8"/>
        <v>2024-09</v>
      </c>
      <c r="G280">
        <f t="shared" si="9"/>
        <v>121.05000000000001</v>
      </c>
      <c r="H280" s="2">
        <v>45537.857630524908</v>
      </c>
      <c r="I280" t="s">
        <v>32</v>
      </c>
      <c r="J280" t="s">
        <v>603</v>
      </c>
    </row>
    <row r="281" spans="1:10" x14ac:dyDescent="0.3">
      <c r="A281" t="s">
        <v>604</v>
      </c>
      <c r="B281" t="s">
        <v>25</v>
      </c>
      <c r="C281" t="s">
        <v>30</v>
      </c>
      <c r="D281">
        <v>5</v>
      </c>
      <c r="E281">
        <v>25.35</v>
      </c>
      <c r="F281" t="str">
        <f t="shared" si="8"/>
        <v>2024-05</v>
      </c>
      <c r="G281">
        <f t="shared" si="9"/>
        <v>126.75</v>
      </c>
      <c r="H281" s="2">
        <v>45427.857630524908</v>
      </c>
      <c r="I281" t="s">
        <v>33</v>
      </c>
      <c r="J281" t="s">
        <v>605</v>
      </c>
    </row>
    <row r="282" spans="1:10" x14ac:dyDescent="0.3">
      <c r="A282" t="s">
        <v>606</v>
      </c>
      <c r="B282" t="s">
        <v>22</v>
      </c>
      <c r="C282" t="s">
        <v>30</v>
      </c>
      <c r="D282">
        <v>3</v>
      </c>
      <c r="E282">
        <v>58.03</v>
      </c>
      <c r="F282" t="str">
        <f t="shared" si="8"/>
        <v>2024-10</v>
      </c>
      <c r="G282">
        <f t="shared" si="9"/>
        <v>174.09</v>
      </c>
      <c r="H282" s="2">
        <v>45566.857630524908</v>
      </c>
      <c r="I282" t="s">
        <v>31</v>
      </c>
      <c r="J282" t="s">
        <v>607</v>
      </c>
    </row>
    <row r="283" spans="1:10" x14ac:dyDescent="0.3">
      <c r="A283" t="s">
        <v>608</v>
      </c>
      <c r="B283" t="s">
        <v>25</v>
      </c>
      <c r="C283" t="s">
        <v>30</v>
      </c>
      <c r="D283">
        <v>3</v>
      </c>
      <c r="E283">
        <v>17.559999999999999</v>
      </c>
      <c r="F283" t="str">
        <f t="shared" si="8"/>
        <v>2024-09</v>
      </c>
      <c r="G283">
        <f t="shared" si="9"/>
        <v>52.679999999999993</v>
      </c>
      <c r="H283" s="2">
        <v>45553.857630524908</v>
      </c>
      <c r="I283" t="s">
        <v>35</v>
      </c>
      <c r="J283" t="s">
        <v>609</v>
      </c>
    </row>
    <row r="284" spans="1:10" x14ac:dyDescent="0.3">
      <c r="A284" t="s">
        <v>610</v>
      </c>
      <c r="B284" t="s">
        <v>16</v>
      </c>
      <c r="C284" t="s">
        <v>29</v>
      </c>
      <c r="D284">
        <v>2</v>
      </c>
      <c r="E284">
        <v>54.09</v>
      </c>
      <c r="F284" t="str">
        <f t="shared" si="8"/>
        <v>2024-06</v>
      </c>
      <c r="G284">
        <f t="shared" si="9"/>
        <v>108.18</v>
      </c>
      <c r="H284" s="2">
        <v>45468.857630524908</v>
      </c>
      <c r="I284" t="s">
        <v>33</v>
      </c>
      <c r="J284" t="s">
        <v>611</v>
      </c>
    </row>
    <row r="285" spans="1:10" x14ac:dyDescent="0.3">
      <c r="A285" t="s">
        <v>612</v>
      </c>
      <c r="B285" t="s">
        <v>20</v>
      </c>
      <c r="C285" t="s">
        <v>30</v>
      </c>
      <c r="D285">
        <v>1</v>
      </c>
      <c r="E285">
        <v>14.09</v>
      </c>
      <c r="F285" t="str">
        <f t="shared" si="8"/>
        <v>2024-05</v>
      </c>
      <c r="G285">
        <f t="shared" si="9"/>
        <v>14.09</v>
      </c>
      <c r="H285" s="2">
        <v>45435.857630524908</v>
      </c>
      <c r="I285" t="s">
        <v>35</v>
      </c>
      <c r="J285" t="s">
        <v>613</v>
      </c>
    </row>
    <row r="286" spans="1:10" x14ac:dyDescent="0.3">
      <c r="A286" t="s">
        <v>614</v>
      </c>
      <c r="B286" t="s">
        <v>20</v>
      </c>
      <c r="C286" t="s">
        <v>30</v>
      </c>
      <c r="D286">
        <v>1</v>
      </c>
      <c r="E286">
        <v>21.84</v>
      </c>
      <c r="F286" t="str">
        <f t="shared" si="8"/>
        <v>2024-06</v>
      </c>
      <c r="G286">
        <f t="shared" si="9"/>
        <v>21.84</v>
      </c>
      <c r="H286" s="2">
        <v>45455.857630524908</v>
      </c>
      <c r="I286" t="s">
        <v>35</v>
      </c>
      <c r="J286" t="s">
        <v>615</v>
      </c>
    </row>
    <row r="287" spans="1:10" x14ac:dyDescent="0.3">
      <c r="A287" t="s">
        <v>616</v>
      </c>
      <c r="B287" t="s">
        <v>22</v>
      </c>
      <c r="C287" t="s">
        <v>30</v>
      </c>
      <c r="D287">
        <v>2</v>
      </c>
      <c r="E287">
        <v>53.16</v>
      </c>
      <c r="F287" t="str">
        <f t="shared" si="8"/>
        <v>2024-08</v>
      </c>
      <c r="G287">
        <f t="shared" si="9"/>
        <v>106.32</v>
      </c>
      <c r="H287" s="2">
        <v>45530.857630524908</v>
      </c>
      <c r="I287" t="s">
        <v>31</v>
      </c>
      <c r="J287" t="s">
        <v>617</v>
      </c>
    </row>
    <row r="288" spans="1:10" x14ac:dyDescent="0.3">
      <c r="A288" t="s">
        <v>618</v>
      </c>
      <c r="B288" t="s">
        <v>16</v>
      </c>
      <c r="C288" t="s">
        <v>29</v>
      </c>
      <c r="D288">
        <v>4</v>
      </c>
      <c r="E288">
        <v>31.32</v>
      </c>
      <c r="F288" t="str">
        <f t="shared" si="8"/>
        <v>2024-08</v>
      </c>
      <c r="G288">
        <f t="shared" si="9"/>
        <v>125.28</v>
      </c>
      <c r="H288" s="2">
        <v>45521.857630524908</v>
      </c>
      <c r="I288" t="s">
        <v>34</v>
      </c>
      <c r="J288" t="s">
        <v>619</v>
      </c>
    </row>
    <row r="289" spans="1:10" x14ac:dyDescent="0.3">
      <c r="A289" t="s">
        <v>620</v>
      </c>
      <c r="B289" t="s">
        <v>26</v>
      </c>
      <c r="C289" t="s">
        <v>28</v>
      </c>
      <c r="D289">
        <v>2</v>
      </c>
      <c r="E289">
        <v>44.82</v>
      </c>
      <c r="F289" t="str">
        <f t="shared" si="8"/>
        <v>2025-01</v>
      </c>
      <c r="G289">
        <f t="shared" si="9"/>
        <v>89.64</v>
      </c>
      <c r="H289" s="2">
        <v>45659.857630524908</v>
      </c>
      <c r="I289" t="s">
        <v>35</v>
      </c>
      <c r="J289" t="s">
        <v>621</v>
      </c>
    </row>
    <row r="290" spans="1:10" x14ac:dyDescent="0.3">
      <c r="A290" t="s">
        <v>622</v>
      </c>
      <c r="B290" t="s">
        <v>19</v>
      </c>
      <c r="C290" t="s">
        <v>28</v>
      </c>
      <c r="D290">
        <v>3</v>
      </c>
      <c r="E290">
        <v>10.97</v>
      </c>
      <c r="F290" t="str">
        <f t="shared" si="8"/>
        <v>2024-09</v>
      </c>
      <c r="G290">
        <f t="shared" si="9"/>
        <v>32.910000000000004</v>
      </c>
      <c r="H290" s="2">
        <v>45539.857630524908</v>
      </c>
      <c r="I290" t="s">
        <v>33</v>
      </c>
      <c r="J290" t="s">
        <v>623</v>
      </c>
    </row>
    <row r="291" spans="1:10" x14ac:dyDescent="0.3">
      <c r="A291" t="s">
        <v>624</v>
      </c>
      <c r="B291" t="s">
        <v>19</v>
      </c>
      <c r="C291" t="s">
        <v>28</v>
      </c>
      <c r="D291">
        <v>2</v>
      </c>
      <c r="E291">
        <v>28.51</v>
      </c>
      <c r="F291" t="str">
        <f t="shared" si="8"/>
        <v>2024-06</v>
      </c>
      <c r="G291">
        <f t="shared" si="9"/>
        <v>57.02</v>
      </c>
      <c r="H291" s="2">
        <v>45466.857630524908</v>
      </c>
      <c r="I291" t="s">
        <v>31</v>
      </c>
      <c r="J291" t="s">
        <v>625</v>
      </c>
    </row>
    <row r="292" spans="1:10" x14ac:dyDescent="0.3">
      <c r="A292" t="s">
        <v>626</v>
      </c>
      <c r="B292" t="s">
        <v>20</v>
      </c>
      <c r="C292" t="s">
        <v>30</v>
      </c>
      <c r="D292">
        <v>1</v>
      </c>
      <c r="E292">
        <v>25.77</v>
      </c>
      <c r="F292" t="str">
        <f t="shared" si="8"/>
        <v>2025-02</v>
      </c>
      <c r="G292">
        <f t="shared" si="9"/>
        <v>25.77</v>
      </c>
      <c r="H292" s="2">
        <v>45709.857630524908</v>
      </c>
      <c r="I292" t="s">
        <v>35</v>
      </c>
      <c r="J292" t="s">
        <v>627</v>
      </c>
    </row>
    <row r="293" spans="1:10" x14ac:dyDescent="0.3">
      <c r="A293" t="s">
        <v>628</v>
      </c>
      <c r="B293" t="s">
        <v>25</v>
      </c>
      <c r="C293" t="s">
        <v>30</v>
      </c>
      <c r="D293">
        <v>1</v>
      </c>
      <c r="E293">
        <v>45.15</v>
      </c>
      <c r="F293" t="str">
        <f t="shared" si="8"/>
        <v>2024-10</v>
      </c>
      <c r="G293">
        <f t="shared" si="9"/>
        <v>45.15</v>
      </c>
      <c r="H293" s="2">
        <v>45585.857630524908</v>
      </c>
      <c r="I293" t="s">
        <v>34</v>
      </c>
      <c r="J293" t="s">
        <v>629</v>
      </c>
    </row>
    <row r="294" spans="1:10" x14ac:dyDescent="0.3">
      <c r="A294" t="s">
        <v>630</v>
      </c>
      <c r="B294" t="s">
        <v>16</v>
      </c>
      <c r="C294" t="s">
        <v>29</v>
      </c>
      <c r="D294">
        <v>3</v>
      </c>
      <c r="E294">
        <v>35.32</v>
      </c>
      <c r="F294" t="str">
        <f t="shared" si="8"/>
        <v>2025-02</v>
      </c>
      <c r="G294">
        <f t="shared" si="9"/>
        <v>105.96000000000001</v>
      </c>
      <c r="H294" s="2">
        <v>45698.857630524908</v>
      </c>
      <c r="I294" t="s">
        <v>34</v>
      </c>
      <c r="J294" t="s">
        <v>631</v>
      </c>
    </row>
    <row r="295" spans="1:10" x14ac:dyDescent="0.3">
      <c r="A295" t="s">
        <v>632</v>
      </c>
      <c r="B295" t="s">
        <v>24</v>
      </c>
      <c r="C295" t="s">
        <v>28</v>
      </c>
      <c r="D295">
        <v>4</v>
      </c>
      <c r="E295">
        <v>21.51</v>
      </c>
      <c r="F295" t="str">
        <f t="shared" si="8"/>
        <v>2024-09</v>
      </c>
      <c r="G295">
        <f t="shared" si="9"/>
        <v>86.04</v>
      </c>
      <c r="H295" s="2">
        <v>45539.857630524908</v>
      </c>
      <c r="I295" t="s">
        <v>35</v>
      </c>
      <c r="J295" t="s">
        <v>633</v>
      </c>
    </row>
    <row r="296" spans="1:10" x14ac:dyDescent="0.3">
      <c r="A296" t="s">
        <v>634</v>
      </c>
      <c r="B296" t="s">
        <v>23</v>
      </c>
      <c r="C296" t="s">
        <v>28</v>
      </c>
      <c r="D296">
        <v>3</v>
      </c>
      <c r="E296">
        <v>39.97</v>
      </c>
      <c r="F296" t="str">
        <f t="shared" si="8"/>
        <v>2024-08</v>
      </c>
      <c r="G296">
        <f t="shared" si="9"/>
        <v>119.91</v>
      </c>
      <c r="H296" s="2">
        <v>45517.857630524908</v>
      </c>
      <c r="I296" t="s">
        <v>35</v>
      </c>
      <c r="J296" t="s">
        <v>635</v>
      </c>
    </row>
    <row r="297" spans="1:10" x14ac:dyDescent="0.3">
      <c r="A297" t="s">
        <v>636</v>
      </c>
      <c r="B297" t="s">
        <v>16</v>
      </c>
      <c r="C297" t="s">
        <v>29</v>
      </c>
      <c r="D297">
        <v>4</v>
      </c>
      <c r="E297">
        <v>21.01</v>
      </c>
      <c r="F297" t="str">
        <f t="shared" si="8"/>
        <v>2025-03</v>
      </c>
      <c r="G297">
        <f t="shared" si="9"/>
        <v>84.04</v>
      </c>
      <c r="H297" s="2">
        <v>45731.857630524908</v>
      </c>
      <c r="I297" t="s">
        <v>32</v>
      </c>
      <c r="J297" t="s">
        <v>637</v>
      </c>
    </row>
    <row r="298" spans="1:10" x14ac:dyDescent="0.3">
      <c r="A298" t="s">
        <v>638</v>
      </c>
      <c r="B298" t="s">
        <v>18</v>
      </c>
      <c r="C298" t="s">
        <v>29</v>
      </c>
      <c r="D298">
        <v>5</v>
      </c>
      <c r="E298">
        <v>43.87</v>
      </c>
      <c r="F298" t="str">
        <f t="shared" si="8"/>
        <v>2024-08</v>
      </c>
      <c r="G298">
        <f t="shared" si="9"/>
        <v>219.35</v>
      </c>
      <c r="H298" s="2">
        <v>45507.857630524908</v>
      </c>
      <c r="I298" t="s">
        <v>33</v>
      </c>
      <c r="J298" t="s">
        <v>639</v>
      </c>
    </row>
    <row r="299" spans="1:10" x14ac:dyDescent="0.3">
      <c r="A299" t="s">
        <v>640</v>
      </c>
      <c r="B299" t="s">
        <v>25</v>
      </c>
      <c r="C299" t="s">
        <v>30</v>
      </c>
      <c r="D299">
        <v>1</v>
      </c>
      <c r="E299">
        <v>40.64</v>
      </c>
      <c r="F299" t="str">
        <f t="shared" si="8"/>
        <v>2024-11</v>
      </c>
      <c r="G299">
        <f t="shared" si="9"/>
        <v>40.64</v>
      </c>
      <c r="H299" s="2">
        <v>45613.857630524908</v>
      </c>
      <c r="I299" t="s">
        <v>33</v>
      </c>
      <c r="J299" t="s">
        <v>641</v>
      </c>
    </row>
    <row r="300" spans="1:10" x14ac:dyDescent="0.3">
      <c r="A300" t="s">
        <v>642</v>
      </c>
      <c r="B300" t="s">
        <v>22</v>
      </c>
      <c r="C300" t="s">
        <v>30</v>
      </c>
      <c r="D300">
        <v>2</v>
      </c>
      <c r="E300">
        <v>36.78</v>
      </c>
      <c r="F300" t="str">
        <f t="shared" si="8"/>
        <v>2025-03</v>
      </c>
      <c r="G300">
        <f t="shared" si="9"/>
        <v>73.56</v>
      </c>
      <c r="H300" s="2">
        <v>45717.857630524908</v>
      </c>
      <c r="I300" t="s">
        <v>32</v>
      </c>
      <c r="J300" t="s">
        <v>643</v>
      </c>
    </row>
    <row r="301" spans="1:10" x14ac:dyDescent="0.3">
      <c r="A301" t="s">
        <v>644</v>
      </c>
      <c r="B301" t="s">
        <v>25</v>
      </c>
      <c r="C301" t="s">
        <v>30</v>
      </c>
      <c r="D301">
        <v>3</v>
      </c>
      <c r="E301">
        <v>53.88</v>
      </c>
      <c r="F301" t="str">
        <f t="shared" si="8"/>
        <v>2024-06</v>
      </c>
      <c r="G301">
        <f t="shared" si="9"/>
        <v>161.64000000000001</v>
      </c>
      <c r="H301" s="2">
        <v>45464.857630524908</v>
      </c>
      <c r="I301" t="s">
        <v>35</v>
      </c>
      <c r="J301" t="s">
        <v>645</v>
      </c>
    </row>
    <row r="302" spans="1:10" x14ac:dyDescent="0.3">
      <c r="A302" t="s">
        <v>646</v>
      </c>
      <c r="B302" t="s">
        <v>27</v>
      </c>
      <c r="C302" t="s">
        <v>28</v>
      </c>
      <c r="D302">
        <v>1</v>
      </c>
      <c r="E302">
        <v>49.53</v>
      </c>
      <c r="F302" t="str">
        <f t="shared" si="8"/>
        <v>2025-03</v>
      </c>
      <c r="G302">
        <f t="shared" si="9"/>
        <v>49.53</v>
      </c>
      <c r="H302" s="2">
        <v>45737.857630524908</v>
      </c>
      <c r="I302" t="s">
        <v>32</v>
      </c>
      <c r="J302" t="s">
        <v>647</v>
      </c>
    </row>
    <row r="303" spans="1:10" x14ac:dyDescent="0.3">
      <c r="A303" t="s">
        <v>648</v>
      </c>
      <c r="B303" t="s">
        <v>18</v>
      </c>
      <c r="C303" t="s">
        <v>29</v>
      </c>
      <c r="D303">
        <v>5</v>
      </c>
      <c r="E303">
        <v>38.119999999999997</v>
      </c>
      <c r="F303" t="str">
        <f t="shared" si="8"/>
        <v>2024-07</v>
      </c>
      <c r="G303">
        <f t="shared" si="9"/>
        <v>190.6</v>
      </c>
      <c r="H303" s="2">
        <v>45500.857630524908</v>
      </c>
      <c r="I303" t="s">
        <v>31</v>
      </c>
      <c r="J303" t="s">
        <v>649</v>
      </c>
    </row>
    <row r="304" spans="1:10" x14ac:dyDescent="0.3">
      <c r="A304" t="s">
        <v>650</v>
      </c>
      <c r="B304" t="s">
        <v>25</v>
      </c>
      <c r="C304" t="s">
        <v>30</v>
      </c>
      <c r="D304">
        <v>2</v>
      </c>
      <c r="E304">
        <v>41.06</v>
      </c>
      <c r="F304" t="str">
        <f t="shared" si="8"/>
        <v>2024-07</v>
      </c>
      <c r="G304">
        <f t="shared" si="9"/>
        <v>82.12</v>
      </c>
      <c r="H304" s="2">
        <v>45494.857630524908</v>
      </c>
      <c r="I304" t="s">
        <v>31</v>
      </c>
      <c r="J304" t="s">
        <v>651</v>
      </c>
    </row>
    <row r="305" spans="1:10" x14ac:dyDescent="0.3">
      <c r="A305" t="s">
        <v>652</v>
      </c>
      <c r="B305" t="s">
        <v>21</v>
      </c>
      <c r="C305" t="s">
        <v>30</v>
      </c>
      <c r="D305">
        <v>2</v>
      </c>
      <c r="E305">
        <v>19.95</v>
      </c>
      <c r="F305" t="str">
        <f t="shared" si="8"/>
        <v>2024-09</v>
      </c>
      <c r="G305">
        <f t="shared" si="9"/>
        <v>39.9</v>
      </c>
      <c r="H305" s="2">
        <v>45544.857630524908</v>
      </c>
      <c r="I305" t="s">
        <v>32</v>
      </c>
      <c r="J305" t="s">
        <v>653</v>
      </c>
    </row>
    <row r="306" spans="1:10" x14ac:dyDescent="0.3">
      <c r="A306" t="s">
        <v>654</v>
      </c>
      <c r="B306" t="s">
        <v>26</v>
      </c>
      <c r="C306" t="s">
        <v>28</v>
      </c>
      <c r="D306">
        <v>3</v>
      </c>
      <c r="E306">
        <v>52.96</v>
      </c>
      <c r="F306" t="str">
        <f t="shared" si="8"/>
        <v>2024-11</v>
      </c>
      <c r="G306">
        <f t="shared" si="9"/>
        <v>158.88</v>
      </c>
      <c r="H306" s="2">
        <v>45612.857630524908</v>
      </c>
      <c r="I306" t="s">
        <v>32</v>
      </c>
      <c r="J306" t="s">
        <v>655</v>
      </c>
    </row>
    <row r="307" spans="1:10" x14ac:dyDescent="0.3">
      <c r="A307" t="s">
        <v>656</v>
      </c>
      <c r="B307" t="s">
        <v>21</v>
      </c>
      <c r="C307" t="s">
        <v>30</v>
      </c>
      <c r="D307">
        <v>4</v>
      </c>
      <c r="E307">
        <v>11.63</v>
      </c>
      <c r="F307" t="str">
        <f t="shared" si="8"/>
        <v>2024-12</v>
      </c>
      <c r="G307">
        <f t="shared" si="9"/>
        <v>46.52</v>
      </c>
      <c r="H307" s="2">
        <v>45652.857630524908</v>
      </c>
      <c r="I307" t="s">
        <v>35</v>
      </c>
      <c r="J307" t="s">
        <v>657</v>
      </c>
    </row>
    <row r="308" spans="1:10" x14ac:dyDescent="0.3">
      <c r="A308" t="s">
        <v>658</v>
      </c>
      <c r="B308" t="s">
        <v>21</v>
      </c>
      <c r="C308" t="s">
        <v>30</v>
      </c>
      <c r="D308">
        <v>5</v>
      </c>
      <c r="E308">
        <v>41.9</v>
      </c>
      <c r="F308" t="str">
        <f t="shared" si="8"/>
        <v>2024-09</v>
      </c>
      <c r="G308">
        <f t="shared" si="9"/>
        <v>209.5</v>
      </c>
      <c r="H308" s="2">
        <v>45562.857630524908</v>
      </c>
      <c r="I308" t="s">
        <v>33</v>
      </c>
      <c r="J308" t="s">
        <v>659</v>
      </c>
    </row>
    <row r="309" spans="1:10" x14ac:dyDescent="0.3">
      <c r="A309" t="s">
        <v>660</v>
      </c>
      <c r="B309" t="s">
        <v>24</v>
      </c>
      <c r="C309" t="s">
        <v>28</v>
      </c>
      <c r="D309">
        <v>1</v>
      </c>
      <c r="E309">
        <v>16.09</v>
      </c>
      <c r="F309" t="str">
        <f t="shared" si="8"/>
        <v>2024-04</v>
      </c>
      <c r="G309">
        <f t="shared" si="9"/>
        <v>16.09</v>
      </c>
      <c r="H309" s="2">
        <v>45392.857630524908</v>
      </c>
      <c r="I309" t="s">
        <v>31</v>
      </c>
      <c r="J309" t="s">
        <v>661</v>
      </c>
    </row>
    <row r="310" spans="1:10" x14ac:dyDescent="0.3">
      <c r="A310" t="s">
        <v>662</v>
      </c>
      <c r="B310" t="s">
        <v>21</v>
      </c>
      <c r="C310" t="s">
        <v>30</v>
      </c>
      <c r="D310">
        <v>4</v>
      </c>
      <c r="E310">
        <v>13.57</v>
      </c>
      <c r="F310" t="str">
        <f t="shared" si="8"/>
        <v>2025-02</v>
      </c>
      <c r="G310">
        <f t="shared" si="9"/>
        <v>54.28</v>
      </c>
      <c r="H310" s="2">
        <v>45715.857630524908</v>
      </c>
      <c r="I310" t="s">
        <v>31</v>
      </c>
      <c r="J310" t="s">
        <v>663</v>
      </c>
    </row>
    <row r="311" spans="1:10" x14ac:dyDescent="0.3">
      <c r="A311" t="s">
        <v>664</v>
      </c>
      <c r="B311" t="s">
        <v>16</v>
      </c>
      <c r="C311" t="s">
        <v>29</v>
      </c>
      <c r="D311">
        <v>2</v>
      </c>
      <c r="E311">
        <v>55.36</v>
      </c>
      <c r="F311" t="str">
        <f t="shared" si="8"/>
        <v>2024-07</v>
      </c>
      <c r="G311">
        <f t="shared" si="9"/>
        <v>110.72</v>
      </c>
      <c r="H311" s="2">
        <v>45496.857630524908</v>
      </c>
      <c r="I311" t="s">
        <v>31</v>
      </c>
      <c r="J311" t="s">
        <v>665</v>
      </c>
    </row>
    <row r="312" spans="1:10" x14ac:dyDescent="0.3">
      <c r="A312" t="s">
        <v>666</v>
      </c>
      <c r="B312" t="s">
        <v>24</v>
      </c>
      <c r="C312" t="s">
        <v>28</v>
      </c>
      <c r="D312">
        <v>4</v>
      </c>
      <c r="E312">
        <v>35.450000000000003</v>
      </c>
      <c r="F312" t="str">
        <f t="shared" si="8"/>
        <v>2024-11</v>
      </c>
      <c r="G312">
        <f t="shared" si="9"/>
        <v>141.80000000000001</v>
      </c>
      <c r="H312" s="2">
        <v>45602.857630524908</v>
      </c>
      <c r="I312" t="s">
        <v>35</v>
      </c>
      <c r="J312" t="s">
        <v>667</v>
      </c>
    </row>
    <row r="313" spans="1:10" x14ac:dyDescent="0.3">
      <c r="A313" t="s">
        <v>668</v>
      </c>
      <c r="B313" t="s">
        <v>21</v>
      </c>
      <c r="C313" t="s">
        <v>30</v>
      </c>
      <c r="D313">
        <v>4</v>
      </c>
      <c r="E313">
        <v>33.450000000000003</v>
      </c>
      <c r="F313" t="str">
        <f t="shared" si="8"/>
        <v>2024-04</v>
      </c>
      <c r="G313">
        <f t="shared" si="9"/>
        <v>133.80000000000001</v>
      </c>
      <c r="H313" s="2">
        <v>45405.857630524908</v>
      </c>
      <c r="I313" t="s">
        <v>33</v>
      </c>
      <c r="J313" t="s">
        <v>669</v>
      </c>
    </row>
    <row r="314" spans="1:10" x14ac:dyDescent="0.3">
      <c r="A314" t="s">
        <v>670</v>
      </c>
      <c r="B314" t="s">
        <v>19</v>
      </c>
      <c r="C314" t="s">
        <v>28</v>
      </c>
      <c r="D314">
        <v>1</v>
      </c>
      <c r="E314">
        <v>40.46</v>
      </c>
      <c r="F314" t="str">
        <f t="shared" si="8"/>
        <v>2025-02</v>
      </c>
      <c r="G314">
        <f t="shared" si="9"/>
        <v>40.46</v>
      </c>
      <c r="H314" s="2">
        <v>45713.857630524908</v>
      </c>
      <c r="I314" t="s">
        <v>33</v>
      </c>
      <c r="J314" t="s">
        <v>671</v>
      </c>
    </row>
    <row r="315" spans="1:10" x14ac:dyDescent="0.3">
      <c r="A315" t="s">
        <v>672</v>
      </c>
      <c r="B315" t="s">
        <v>26</v>
      </c>
      <c r="C315" t="s">
        <v>28</v>
      </c>
      <c r="D315">
        <v>5</v>
      </c>
      <c r="E315">
        <v>14.43</v>
      </c>
      <c r="F315" t="str">
        <f t="shared" si="8"/>
        <v>2025-03</v>
      </c>
      <c r="G315">
        <f t="shared" si="9"/>
        <v>72.150000000000006</v>
      </c>
      <c r="H315" s="2">
        <v>45728.857630524908</v>
      </c>
      <c r="I315" t="s">
        <v>33</v>
      </c>
      <c r="J315" t="s">
        <v>673</v>
      </c>
    </row>
    <row r="316" spans="1:10" x14ac:dyDescent="0.3">
      <c r="A316" t="s">
        <v>674</v>
      </c>
      <c r="B316" t="s">
        <v>19</v>
      </c>
      <c r="C316" t="s">
        <v>28</v>
      </c>
      <c r="D316">
        <v>4</v>
      </c>
      <c r="E316">
        <v>48.33</v>
      </c>
      <c r="F316" t="str">
        <f t="shared" si="8"/>
        <v>2024-11</v>
      </c>
      <c r="G316">
        <f t="shared" si="9"/>
        <v>193.32</v>
      </c>
      <c r="H316" s="2">
        <v>45624.857630524908</v>
      </c>
      <c r="I316" t="s">
        <v>32</v>
      </c>
      <c r="J316" t="s">
        <v>675</v>
      </c>
    </row>
    <row r="317" spans="1:10" x14ac:dyDescent="0.3">
      <c r="A317" t="s">
        <v>676</v>
      </c>
      <c r="B317" t="s">
        <v>20</v>
      </c>
      <c r="C317" t="s">
        <v>30</v>
      </c>
      <c r="D317">
        <v>2</v>
      </c>
      <c r="E317">
        <v>38.35</v>
      </c>
      <c r="F317" t="str">
        <f t="shared" si="8"/>
        <v>2025-02</v>
      </c>
      <c r="G317">
        <f t="shared" si="9"/>
        <v>76.7</v>
      </c>
      <c r="H317" s="2">
        <v>45699.857630524908</v>
      </c>
      <c r="I317" t="s">
        <v>31</v>
      </c>
      <c r="J317" t="s">
        <v>677</v>
      </c>
    </row>
    <row r="318" spans="1:10" x14ac:dyDescent="0.3">
      <c r="A318" t="s">
        <v>678</v>
      </c>
      <c r="B318" t="s">
        <v>19</v>
      </c>
      <c r="C318" t="s">
        <v>28</v>
      </c>
      <c r="D318">
        <v>3</v>
      </c>
      <c r="E318">
        <v>48.22</v>
      </c>
      <c r="F318" t="str">
        <f t="shared" si="8"/>
        <v>2024-05</v>
      </c>
      <c r="G318">
        <f t="shared" si="9"/>
        <v>144.66</v>
      </c>
      <c r="H318" s="2">
        <v>45431.857630524908</v>
      </c>
      <c r="I318" t="s">
        <v>33</v>
      </c>
      <c r="J318" t="s">
        <v>679</v>
      </c>
    </row>
    <row r="319" spans="1:10" x14ac:dyDescent="0.3">
      <c r="A319" t="s">
        <v>680</v>
      </c>
      <c r="B319" t="s">
        <v>25</v>
      </c>
      <c r="C319" t="s">
        <v>30</v>
      </c>
      <c r="D319">
        <v>5</v>
      </c>
      <c r="E319">
        <v>39.58</v>
      </c>
      <c r="F319" t="str">
        <f t="shared" si="8"/>
        <v>2025-03</v>
      </c>
      <c r="G319">
        <f t="shared" si="9"/>
        <v>197.89999999999998</v>
      </c>
      <c r="H319" s="2">
        <v>45732.857630524908</v>
      </c>
      <c r="I319" t="s">
        <v>31</v>
      </c>
      <c r="J319" t="s">
        <v>681</v>
      </c>
    </row>
    <row r="320" spans="1:10" x14ac:dyDescent="0.3">
      <c r="A320" t="s">
        <v>682</v>
      </c>
      <c r="B320" t="s">
        <v>24</v>
      </c>
      <c r="C320" t="s">
        <v>28</v>
      </c>
      <c r="D320">
        <v>1</v>
      </c>
      <c r="E320">
        <v>16.62</v>
      </c>
      <c r="F320" t="str">
        <f t="shared" si="8"/>
        <v>2024-10</v>
      </c>
      <c r="G320">
        <f t="shared" si="9"/>
        <v>16.62</v>
      </c>
      <c r="H320" s="2">
        <v>45588.857630524908</v>
      </c>
      <c r="I320" t="s">
        <v>33</v>
      </c>
      <c r="J320" t="s">
        <v>683</v>
      </c>
    </row>
    <row r="321" spans="1:10" x14ac:dyDescent="0.3">
      <c r="A321" t="s">
        <v>684</v>
      </c>
      <c r="B321" t="s">
        <v>27</v>
      </c>
      <c r="C321" t="s">
        <v>28</v>
      </c>
      <c r="D321">
        <v>4</v>
      </c>
      <c r="E321">
        <v>18.77</v>
      </c>
      <c r="F321" t="str">
        <f t="shared" si="8"/>
        <v>2024-07</v>
      </c>
      <c r="G321">
        <f t="shared" si="9"/>
        <v>75.08</v>
      </c>
      <c r="H321" s="2">
        <v>45474.857630524908</v>
      </c>
      <c r="I321" t="s">
        <v>35</v>
      </c>
      <c r="J321" t="s">
        <v>685</v>
      </c>
    </row>
    <row r="322" spans="1:10" x14ac:dyDescent="0.3">
      <c r="A322" t="s">
        <v>686</v>
      </c>
      <c r="B322" t="s">
        <v>18</v>
      </c>
      <c r="C322" t="s">
        <v>29</v>
      </c>
      <c r="D322">
        <v>2</v>
      </c>
      <c r="E322">
        <v>59.64</v>
      </c>
      <c r="F322" t="str">
        <f t="shared" si="8"/>
        <v>2024-12</v>
      </c>
      <c r="G322">
        <f t="shared" si="9"/>
        <v>119.28</v>
      </c>
      <c r="H322" s="2">
        <v>45639.857630524908</v>
      </c>
      <c r="I322" t="s">
        <v>35</v>
      </c>
      <c r="J322" t="s">
        <v>687</v>
      </c>
    </row>
    <row r="323" spans="1:10" x14ac:dyDescent="0.3">
      <c r="A323" t="s">
        <v>688</v>
      </c>
      <c r="B323" t="s">
        <v>18</v>
      </c>
      <c r="C323" t="s">
        <v>29</v>
      </c>
      <c r="D323">
        <v>1</v>
      </c>
      <c r="E323">
        <v>30.73</v>
      </c>
      <c r="F323" t="str">
        <f t="shared" ref="F323:F386" si="10">TEXT(H323, "yyyy-mm")</f>
        <v>2024-11</v>
      </c>
      <c r="G323">
        <f t="shared" ref="G323:G386" si="11">D323*E323</f>
        <v>30.73</v>
      </c>
      <c r="H323" s="2">
        <v>45623.857630524908</v>
      </c>
      <c r="I323" t="s">
        <v>31</v>
      </c>
      <c r="J323" t="s">
        <v>689</v>
      </c>
    </row>
    <row r="324" spans="1:10" x14ac:dyDescent="0.3">
      <c r="A324" t="s">
        <v>690</v>
      </c>
      <c r="B324" t="s">
        <v>22</v>
      </c>
      <c r="C324" t="s">
        <v>30</v>
      </c>
      <c r="D324">
        <v>1</v>
      </c>
      <c r="E324">
        <v>11.76</v>
      </c>
      <c r="F324" t="str">
        <f t="shared" si="10"/>
        <v>2024-06</v>
      </c>
      <c r="G324">
        <f t="shared" si="11"/>
        <v>11.76</v>
      </c>
      <c r="H324" s="2">
        <v>45465.857630524908</v>
      </c>
      <c r="I324" t="s">
        <v>35</v>
      </c>
      <c r="J324" t="s">
        <v>691</v>
      </c>
    </row>
    <row r="325" spans="1:10" x14ac:dyDescent="0.3">
      <c r="A325" t="s">
        <v>692</v>
      </c>
      <c r="B325" t="s">
        <v>16</v>
      </c>
      <c r="C325" t="s">
        <v>29</v>
      </c>
      <c r="D325">
        <v>3</v>
      </c>
      <c r="E325">
        <v>14.68</v>
      </c>
      <c r="F325" t="str">
        <f t="shared" si="10"/>
        <v>2024-12</v>
      </c>
      <c r="G325">
        <f t="shared" si="11"/>
        <v>44.04</v>
      </c>
      <c r="H325" s="2">
        <v>45649.857630524908</v>
      </c>
      <c r="I325" t="s">
        <v>32</v>
      </c>
      <c r="J325" t="s">
        <v>693</v>
      </c>
    </row>
    <row r="326" spans="1:10" x14ac:dyDescent="0.3">
      <c r="A326" t="s">
        <v>694</v>
      </c>
      <c r="B326" t="s">
        <v>19</v>
      </c>
      <c r="C326" t="s">
        <v>28</v>
      </c>
      <c r="D326">
        <v>3</v>
      </c>
      <c r="E326">
        <v>40.69</v>
      </c>
      <c r="F326" t="str">
        <f t="shared" si="10"/>
        <v>2024-08</v>
      </c>
      <c r="G326">
        <f t="shared" si="11"/>
        <v>122.07</v>
      </c>
      <c r="H326" s="2">
        <v>45534.857630524908</v>
      </c>
      <c r="I326" t="s">
        <v>31</v>
      </c>
      <c r="J326" t="s">
        <v>695</v>
      </c>
    </row>
    <row r="327" spans="1:10" x14ac:dyDescent="0.3">
      <c r="A327" t="s">
        <v>696</v>
      </c>
      <c r="B327" t="s">
        <v>20</v>
      </c>
      <c r="C327" t="s">
        <v>30</v>
      </c>
      <c r="D327">
        <v>4</v>
      </c>
      <c r="E327">
        <v>44.74</v>
      </c>
      <c r="F327" t="str">
        <f t="shared" si="10"/>
        <v>2025-03</v>
      </c>
      <c r="G327">
        <f t="shared" si="11"/>
        <v>178.96</v>
      </c>
      <c r="H327" s="2">
        <v>45745.857630524908</v>
      </c>
      <c r="I327" t="s">
        <v>32</v>
      </c>
      <c r="J327" t="s">
        <v>697</v>
      </c>
    </row>
    <row r="328" spans="1:10" x14ac:dyDescent="0.3">
      <c r="A328" t="s">
        <v>698</v>
      </c>
      <c r="B328" t="s">
        <v>22</v>
      </c>
      <c r="C328" t="s">
        <v>30</v>
      </c>
      <c r="D328">
        <v>1</v>
      </c>
      <c r="E328">
        <v>48.33</v>
      </c>
      <c r="F328" t="str">
        <f t="shared" si="10"/>
        <v>2024-11</v>
      </c>
      <c r="G328">
        <f t="shared" si="11"/>
        <v>48.33</v>
      </c>
      <c r="H328" s="2">
        <v>45620.857630524908</v>
      </c>
      <c r="I328" t="s">
        <v>34</v>
      </c>
      <c r="J328" t="s">
        <v>699</v>
      </c>
    </row>
    <row r="329" spans="1:10" x14ac:dyDescent="0.3">
      <c r="A329" t="s">
        <v>700</v>
      </c>
      <c r="B329" t="s">
        <v>21</v>
      </c>
      <c r="C329" t="s">
        <v>30</v>
      </c>
      <c r="D329">
        <v>1</v>
      </c>
      <c r="E329">
        <v>27.51</v>
      </c>
      <c r="F329" t="str">
        <f t="shared" si="10"/>
        <v>2024-04</v>
      </c>
      <c r="G329">
        <f t="shared" si="11"/>
        <v>27.51</v>
      </c>
      <c r="H329" s="2">
        <v>45401.857630524908</v>
      </c>
      <c r="I329" t="s">
        <v>31</v>
      </c>
      <c r="J329" t="s">
        <v>701</v>
      </c>
    </row>
    <row r="330" spans="1:10" x14ac:dyDescent="0.3">
      <c r="A330" t="s">
        <v>702</v>
      </c>
      <c r="B330" t="s">
        <v>25</v>
      </c>
      <c r="C330" t="s">
        <v>30</v>
      </c>
      <c r="D330">
        <v>3</v>
      </c>
      <c r="E330">
        <v>13.5</v>
      </c>
      <c r="F330" t="str">
        <f t="shared" si="10"/>
        <v>2024-07</v>
      </c>
      <c r="G330">
        <f t="shared" si="11"/>
        <v>40.5</v>
      </c>
      <c r="H330" s="2">
        <v>45486.857630524908</v>
      </c>
      <c r="I330" t="s">
        <v>34</v>
      </c>
      <c r="J330" t="s">
        <v>703</v>
      </c>
    </row>
    <row r="331" spans="1:10" x14ac:dyDescent="0.3">
      <c r="A331" t="s">
        <v>704</v>
      </c>
      <c r="B331" t="s">
        <v>17</v>
      </c>
      <c r="C331" t="s">
        <v>29</v>
      </c>
      <c r="D331">
        <v>5</v>
      </c>
      <c r="E331">
        <v>14.75</v>
      </c>
      <c r="F331" t="str">
        <f t="shared" si="10"/>
        <v>2024-10</v>
      </c>
      <c r="G331">
        <f t="shared" si="11"/>
        <v>73.75</v>
      </c>
      <c r="H331" s="2">
        <v>45572.857630524908</v>
      </c>
      <c r="I331" t="s">
        <v>33</v>
      </c>
      <c r="J331" t="s">
        <v>705</v>
      </c>
    </row>
    <row r="332" spans="1:10" x14ac:dyDescent="0.3">
      <c r="A332" t="s">
        <v>706</v>
      </c>
      <c r="B332" t="s">
        <v>16</v>
      </c>
      <c r="C332" t="s">
        <v>29</v>
      </c>
      <c r="D332">
        <v>1</v>
      </c>
      <c r="E332">
        <v>33.03</v>
      </c>
      <c r="F332" t="str">
        <f t="shared" si="10"/>
        <v>2025-01</v>
      </c>
      <c r="G332">
        <f t="shared" si="11"/>
        <v>33.03</v>
      </c>
      <c r="H332" s="2">
        <v>45658.857630524908</v>
      </c>
      <c r="I332" t="s">
        <v>32</v>
      </c>
      <c r="J332" t="s">
        <v>707</v>
      </c>
    </row>
    <row r="333" spans="1:10" x14ac:dyDescent="0.3">
      <c r="A333" t="s">
        <v>708</v>
      </c>
      <c r="B333" t="s">
        <v>26</v>
      </c>
      <c r="C333" t="s">
        <v>28</v>
      </c>
      <c r="D333">
        <v>1</v>
      </c>
      <c r="E333">
        <v>12.73</v>
      </c>
      <c r="F333" t="str">
        <f t="shared" si="10"/>
        <v>2024-06</v>
      </c>
      <c r="G333">
        <f t="shared" si="11"/>
        <v>12.73</v>
      </c>
      <c r="H333" s="2">
        <v>45470.857630524908</v>
      </c>
      <c r="I333" t="s">
        <v>34</v>
      </c>
      <c r="J333" t="s">
        <v>709</v>
      </c>
    </row>
    <row r="334" spans="1:10" x14ac:dyDescent="0.3">
      <c r="A334" t="s">
        <v>710</v>
      </c>
      <c r="B334" t="s">
        <v>25</v>
      </c>
      <c r="C334" t="s">
        <v>30</v>
      </c>
      <c r="D334">
        <v>1</v>
      </c>
      <c r="E334">
        <v>58.67</v>
      </c>
      <c r="F334" t="str">
        <f t="shared" si="10"/>
        <v>2025-01</v>
      </c>
      <c r="G334">
        <f t="shared" si="11"/>
        <v>58.67</v>
      </c>
      <c r="H334" s="2">
        <v>45678.857630524908</v>
      </c>
      <c r="I334" t="s">
        <v>32</v>
      </c>
      <c r="J334" t="s">
        <v>711</v>
      </c>
    </row>
    <row r="335" spans="1:10" x14ac:dyDescent="0.3">
      <c r="A335" t="s">
        <v>712</v>
      </c>
      <c r="B335" t="s">
        <v>23</v>
      </c>
      <c r="C335" t="s">
        <v>28</v>
      </c>
      <c r="D335">
        <v>1</v>
      </c>
      <c r="E335">
        <v>26.98</v>
      </c>
      <c r="F335" t="str">
        <f t="shared" si="10"/>
        <v>2024-10</v>
      </c>
      <c r="G335">
        <f t="shared" si="11"/>
        <v>26.98</v>
      </c>
      <c r="H335" s="2">
        <v>45581.857630524908</v>
      </c>
      <c r="I335" t="s">
        <v>31</v>
      </c>
      <c r="J335" t="s">
        <v>713</v>
      </c>
    </row>
    <row r="336" spans="1:10" x14ac:dyDescent="0.3">
      <c r="A336" t="s">
        <v>714</v>
      </c>
      <c r="B336" t="s">
        <v>24</v>
      </c>
      <c r="C336" t="s">
        <v>28</v>
      </c>
      <c r="D336">
        <v>1</v>
      </c>
      <c r="E336">
        <v>55.03</v>
      </c>
      <c r="F336" t="str">
        <f t="shared" si="10"/>
        <v>2024-04</v>
      </c>
      <c r="G336">
        <f t="shared" si="11"/>
        <v>55.03</v>
      </c>
      <c r="H336" s="2">
        <v>45412.857630524908</v>
      </c>
      <c r="I336" t="s">
        <v>33</v>
      </c>
      <c r="J336" t="s">
        <v>715</v>
      </c>
    </row>
    <row r="337" spans="1:10" x14ac:dyDescent="0.3">
      <c r="A337" t="s">
        <v>716</v>
      </c>
      <c r="B337" t="s">
        <v>21</v>
      </c>
      <c r="C337" t="s">
        <v>30</v>
      </c>
      <c r="D337">
        <v>2</v>
      </c>
      <c r="E337">
        <v>22.24</v>
      </c>
      <c r="F337" t="str">
        <f t="shared" si="10"/>
        <v>2024-11</v>
      </c>
      <c r="G337">
        <f t="shared" si="11"/>
        <v>44.48</v>
      </c>
      <c r="H337" s="2">
        <v>45597.857630524908</v>
      </c>
      <c r="I337" t="s">
        <v>34</v>
      </c>
      <c r="J337" t="s">
        <v>717</v>
      </c>
    </row>
    <row r="338" spans="1:10" x14ac:dyDescent="0.3">
      <c r="A338" t="s">
        <v>718</v>
      </c>
      <c r="B338" t="s">
        <v>17</v>
      </c>
      <c r="C338" t="s">
        <v>29</v>
      </c>
      <c r="D338">
        <v>4</v>
      </c>
      <c r="E338">
        <v>50.22</v>
      </c>
      <c r="F338" t="str">
        <f t="shared" si="10"/>
        <v>2025-01</v>
      </c>
      <c r="G338">
        <f t="shared" si="11"/>
        <v>200.88</v>
      </c>
      <c r="H338" s="2">
        <v>45688.857630524908</v>
      </c>
      <c r="I338" t="s">
        <v>31</v>
      </c>
      <c r="J338" t="s">
        <v>719</v>
      </c>
    </row>
    <row r="339" spans="1:10" x14ac:dyDescent="0.3">
      <c r="A339" t="s">
        <v>720</v>
      </c>
      <c r="B339" t="s">
        <v>21</v>
      </c>
      <c r="C339" t="s">
        <v>30</v>
      </c>
      <c r="D339">
        <v>3</v>
      </c>
      <c r="E339">
        <v>55.51</v>
      </c>
      <c r="F339" t="str">
        <f t="shared" si="10"/>
        <v>2025-02</v>
      </c>
      <c r="G339">
        <f t="shared" si="11"/>
        <v>166.53</v>
      </c>
      <c r="H339" s="2">
        <v>45700.857630524908</v>
      </c>
      <c r="I339" t="s">
        <v>31</v>
      </c>
      <c r="J339" t="s">
        <v>721</v>
      </c>
    </row>
    <row r="340" spans="1:10" x14ac:dyDescent="0.3">
      <c r="A340" t="s">
        <v>722</v>
      </c>
      <c r="B340" t="s">
        <v>26</v>
      </c>
      <c r="C340" t="s">
        <v>28</v>
      </c>
      <c r="D340">
        <v>5</v>
      </c>
      <c r="E340">
        <v>49.08</v>
      </c>
      <c r="F340" t="str">
        <f t="shared" si="10"/>
        <v>2024-04</v>
      </c>
      <c r="G340">
        <f t="shared" si="11"/>
        <v>245.39999999999998</v>
      </c>
      <c r="H340" s="2">
        <v>45387.857630524908</v>
      </c>
      <c r="I340" t="s">
        <v>31</v>
      </c>
      <c r="J340" t="s">
        <v>723</v>
      </c>
    </row>
    <row r="341" spans="1:10" x14ac:dyDescent="0.3">
      <c r="A341" t="s">
        <v>724</v>
      </c>
      <c r="B341" t="s">
        <v>24</v>
      </c>
      <c r="C341" t="s">
        <v>28</v>
      </c>
      <c r="D341">
        <v>2</v>
      </c>
      <c r="E341">
        <v>19.350000000000001</v>
      </c>
      <c r="F341" t="str">
        <f t="shared" si="10"/>
        <v>2024-11</v>
      </c>
      <c r="G341">
        <f t="shared" si="11"/>
        <v>38.700000000000003</v>
      </c>
      <c r="H341" s="2">
        <v>45609.857630524908</v>
      </c>
      <c r="I341" t="s">
        <v>32</v>
      </c>
      <c r="J341" t="s">
        <v>725</v>
      </c>
    </row>
    <row r="342" spans="1:10" x14ac:dyDescent="0.3">
      <c r="A342" t="s">
        <v>726</v>
      </c>
      <c r="B342" t="s">
        <v>21</v>
      </c>
      <c r="C342" t="s">
        <v>30</v>
      </c>
      <c r="D342">
        <v>3</v>
      </c>
      <c r="E342">
        <v>27.65</v>
      </c>
      <c r="F342" t="str">
        <f t="shared" si="10"/>
        <v>2024-05</v>
      </c>
      <c r="G342">
        <f t="shared" si="11"/>
        <v>82.949999999999989</v>
      </c>
      <c r="H342" s="2">
        <v>45436.857630524908</v>
      </c>
      <c r="I342" t="s">
        <v>33</v>
      </c>
      <c r="J342" t="s">
        <v>727</v>
      </c>
    </row>
    <row r="343" spans="1:10" x14ac:dyDescent="0.3">
      <c r="A343" t="s">
        <v>728</v>
      </c>
      <c r="B343" t="s">
        <v>19</v>
      </c>
      <c r="C343" t="s">
        <v>28</v>
      </c>
      <c r="D343">
        <v>5</v>
      </c>
      <c r="E343">
        <v>16.12</v>
      </c>
      <c r="F343" t="str">
        <f t="shared" si="10"/>
        <v>2025-02</v>
      </c>
      <c r="G343">
        <f t="shared" si="11"/>
        <v>80.600000000000009</v>
      </c>
      <c r="H343" s="2">
        <v>45696.857630524908</v>
      </c>
      <c r="I343" t="s">
        <v>34</v>
      </c>
      <c r="J343" t="s">
        <v>729</v>
      </c>
    </row>
    <row r="344" spans="1:10" x14ac:dyDescent="0.3">
      <c r="A344" t="s">
        <v>730</v>
      </c>
      <c r="B344" t="s">
        <v>22</v>
      </c>
      <c r="C344" t="s">
        <v>30</v>
      </c>
      <c r="D344">
        <v>5</v>
      </c>
      <c r="E344">
        <v>36.53</v>
      </c>
      <c r="F344" t="str">
        <f t="shared" si="10"/>
        <v>2024-05</v>
      </c>
      <c r="G344">
        <f t="shared" si="11"/>
        <v>182.65</v>
      </c>
      <c r="H344" s="2">
        <v>45434.857630524908</v>
      </c>
      <c r="I344" t="s">
        <v>34</v>
      </c>
      <c r="J344" t="s">
        <v>731</v>
      </c>
    </row>
    <row r="345" spans="1:10" x14ac:dyDescent="0.3">
      <c r="A345" t="s">
        <v>732</v>
      </c>
      <c r="B345" t="s">
        <v>16</v>
      </c>
      <c r="C345" t="s">
        <v>29</v>
      </c>
      <c r="D345">
        <v>2</v>
      </c>
      <c r="E345">
        <v>27.35</v>
      </c>
      <c r="F345" t="str">
        <f t="shared" si="10"/>
        <v>2025-02</v>
      </c>
      <c r="G345">
        <f t="shared" si="11"/>
        <v>54.7</v>
      </c>
      <c r="H345" s="2">
        <v>45691.857630524908</v>
      </c>
      <c r="I345" t="s">
        <v>35</v>
      </c>
      <c r="J345" t="s">
        <v>733</v>
      </c>
    </row>
    <row r="346" spans="1:10" x14ac:dyDescent="0.3">
      <c r="A346" t="s">
        <v>734</v>
      </c>
      <c r="B346" t="s">
        <v>25</v>
      </c>
      <c r="C346" t="s">
        <v>30</v>
      </c>
      <c r="D346">
        <v>3</v>
      </c>
      <c r="E346">
        <v>13.1</v>
      </c>
      <c r="F346" t="str">
        <f t="shared" si="10"/>
        <v>2024-07</v>
      </c>
      <c r="G346">
        <f t="shared" si="11"/>
        <v>39.299999999999997</v>
      </c>
      <c r="H346" s="2">
        <v>45475.857630524908</v>
      </c>
      <c r="I346" t="s">
        <v>33</v>
      </c>
      <c r="J346" t="s">
        <v>735</v>
      </c>
    </row>
    <row r="347" spans="1:10" x14ac:dyDescent="0.3">
      <c r="A347" t="s">
        <v>736</v>
      </c>
      <c r="B347" t="s">
        <v>22</v>
      </c>
      <c r="C347" t="s">
        <v>30</v>
      </c>
      <c r="D347">
        <v>3</v>
      </c>
      <c r="E347">
        <v>18.72</v>
      </c>
      <c r="F347" t="str">
        <f t="shared" si="10"/>
        <v>2025-02</v>
      </c>
      <c r="G347">
        <f t="shared" si="11"/>
        <v>56.16</v>
      </c>
      <c r="H347" s="2">
        <v>45711.857630524908</v>
      </c>
      <c r="I347" t="s">
        <v>31</v>
      </c>
      <c r="J347" t="s">
        <v>737</v>
      </c>
    </row>
    <row r="348" spans="1:10" x14ac:dyDescent="0.3">
      <c r="A348" t="s">
        <v>738</v>
      </c>
      <c r="B348" t="s">
        <v>26</v>
      </c>
      <c r="C348" t="s">
        <v>28</v>
      </c>
      <c r="D348">
        <v>3</v>
      </c>
      <c r="E348">
        <v>20.34</v>
      </c>
      <c r="F348" t="str">
        <f t="shared" si="10"/>
        <v>2025-03</v>
      </c>
      <c r="G348">
        <f t="shared" si="11"/>
        <v>61.019999999999996</v>
      </c>
      <c r="H348" s="2">
        <v>45728.857630524908</v>
      </c>
      <c r="I348" t="s">
        <v>34</v>
      </c>
      <c r="J348" t="s">
        <v>739</v>
      </c>
    </row>
    <row r="349" spans="1:10" x14ac:dyDescent="0.3">
      <c r="A349" t="s">
        <v>740</v>
      </c>
      <c r="B349" t="s">
        <v>21</v>
      </c>
      <c r="C349" t="s">
        <v>30</v>
      </c>
      <c r="D349">
        <v>1</v>
      </c>
      <c r="E349">
        <v>13.75</v>
      </c>
      <c r="F349" t="str">
        <f t="shared" si="10"/>
        <v>2025-04</v>
      </c>
      <c r="G349">
        <f t="shared" si="11"/>
        <v>13.75</v>
      </c>
      <c r="H349" s="2">
        <v>45749.857630524908</v>
      </c>
      <c r="I349" t="s">
        <v>32</v>
      </c>
      <c r="J349" t="s">
        <v>741</v>
      </c>
    </row>
    <row r="350" spans="1:10" x14ac:dyDescent="0.3">
      <c r="A350" t="s">
        <v>742</v>
      </c>
      <c r="B350" t="s">
        <v>24</v>
      </c>
      <c r="C350" t="s">
        <v>28</v>
      </c>
      <c r="D350">
        <v>5</v>
      </c>
      <c r="E350">
        <v>20.149999999999999</v>
      </c>
      <c r="F350" t="str">
        <f t="shared" si="10"/>
        <v>2024-06</v>
      </c>
      <c r="G350">
        <f t="shared" si="11"/>
        <v>100.75</v>
      </c>
      <c r="H350" s="2">
        <v>45471.857630524908</v>
      </c>
      <c r="I350" t="s">
        <v>34</v>
      </c>
      <c r="J350" t="s">
        <v>743</v>
      </c>
    </row>
    <row r="351" spans="1:10" x14ac:dyDescent="0.3">
      <c r="A351" t="s">
        <v>744</v>
      </c>
      <c r="B351" t="s">
        <v>24</v>
      </c>
      <c r="C351" t="s">
        <v>28</v>
      </c>
      <c r="D351">
        <v>1</v>
      </c>
      <c r="E351">
        <v>48.23</v>
      </c>
      <c r="F351" t="str">
        <f t="shared" si="10"/>
        <v>2024-04</v>
      </c>
      <c r="G351">
        <f t="shared" si="11"/>
        <v>48.23</v>
      </c>
      <c r="H351" s="2">
        <v>45402.857630524908</v>
      </c>
      <c r="I351" t="s">
        <v>35</v>
      </c>
      <c r="J351" t="s">
        <v>745</v>
      </c>
    </row>
    <row r="352" spans="1:10" x14ac:dyDescent="0.3">
      <c r="A352" t="s">
        <v>746</v>
      </c>
      <c r="B352" t="s">
        <v>18</v>
      </c>
      <c r="C352" t="s">
        <v>29</v>
      </c>
      <c r="D352">
        <v>5</v>
      </c>
      <c r="E352">
        <v>24.09</v>
      </c>
      <c r="F352" t="str">
        <f t="shared" si="10"/>
        <v>2024-12</v>
      </c>
      <c r="G352">
        <f t="shared" si="11"/>
        <v>120.45</v>
      </c>
      <c r="H352" s="2">
        <v>45655.857630524908</v>
      </c>
      <c r="I352" t="s">
        <v>32</v>
      </c>
      <c r="J352" t="s">
        <v>747</v>
      </c>
    </row>
    <row r="353" spans="1:10" x14ac:dyDescent="0.3">
      <c r="A353" t="s">
        <v>748</v>
      </c>
      <c r="B353" t="s">
        <v>20</v>
      </c>
      <c r="C353" t="s">
        <v>30</v>
      </c>
      <c r="D353">
        <v>3</v>
      </c>
      <c r="E353">
        <v>32.090000000000003</v>
      </c>
      <c r="F353" t="str">
        <f t="shared" si="10"/>
        <v>2024-12</v>
      </c>
      <c r="G353">
        <f t="shared" si="11"/>
        <v>96.27000000000001</v>
      </c>
      <c r="H353" s="2">
        <v>45639.857630524908</v>
      </c>
      <c r="I353" t="s">
        <v>31</v>
      </c>
      <c r="J353" t="s">
        <v>749</v>
      </c>
    </row>
    <row r="354" spans="1:10" x14ac:dyDescent="0.3">
      <c r="A354" t="s">
        <v>750</v>
      </c>
      <c r="B354" t="s">
        <v>25</v>
      </c>
      <c r="C354" t="s">
        <v>30</v>
      </c>
      <c r="D354">
        <v>2</v>
      </c>
      <c r="E354">
        <v>55.52</v>
      </c>
      <c r="F354" t="str">
        <f t="shared" si="10"/>
        <v>2025-02</v>
      </c>
      <c r="G354">
        <f t="shared" si="11"/>
        <v>111.04</v>
      </c>
      <c r="H354" s="2">
        <v>45695.857630524908</v>
      </c>
      <c r="I354" t="s">
        <v>33</v>
      </c>
      <c r="J354" t="s">
        <v>751</v>
      </c>
    </row>
    <row r="355" spans="1:10" x14ac:dyDescent="0.3">
      <c r="A355" t="s">
        <v>752</v>
      </c>
      <c r="B355" t="s">
        <v>19</v>
      </c>
      <c r="C355" t="s">
        <v>28</v>
      </c>
      <c r="D355">
        <v>5</v>
      </c>
      <c r="E355">
        <v>33.340000000000003</v>
      </c>
      <c r="F355" t="str">
        <f t="shared" si="10"/>
        <v>2024-11</v>
      </c>
      <c r="G355">
        <f t="shared" si="11"/>
        <v>166.70000000000002</v>
      </c>
      <c r="H355" s="2">
        <v>45600.857630524908</v>
      </c>
      <c r="I355" t="s">
        <v>33</v>
      </c>
      <c r="J355" t="s">
        <v>753</v>
      </c>
    </row>
    <row r="356" spans="1:10" x14ac:dyDescent="0.3">
      <c r="A356" t="s">
        <v>754</v>
      </c>
      <c r="B356" t="s">
        <v>21</v>
      </c>
      <c r="C356" t="s">
        <v>30</v>
      </c>
      <c r="D356">
        <v>5</v>
      </c>
      <c r="E356">
        <v>37.33</v>
      </c>
      <c r="F356" t="str">
        <f t="shared" si="10"/>
        <v>2024-05</v>
      </c>
      <c r="G356">
        <f t="shared" si="11"/>
        <v>186.64999999999998</v>
      </c>
      <c r="H356" s="2">
        <v>45441.857630524908</v>
      </c>
      <c r="I356" t="s">
        <v>34</v>
      </c>
      <c r="J356" t="s">
        <v>755</v>
      </c>
    </row>
    <row r="357" spans="1:10" x14ac:dyDescent="0.3">
      <c r="A357" t="s">
        <v>756</v>
      </c>
      <c r="B357" t="s">
        <v>27</v>
      </c>
      <c r="C357" t="s">
        <v>28</v>
      </c>
      <c r="D357">
        <v>5</v>
      </c>
      <c r="E357">
        <v>33.49</v>
      </c>
      <c r="F357" t="str">
        <f t="shared" si="10"/>
        <v>2024-07</v>
      </c>
      <c r="G357">
        <f t="shared" si="11"/>
        <v>167.45000000000002</v>
      </c>
      <c r="H357" s="2">
        <v>45503.857630524908</v>
      </c>
      <c r="I357" t="s">
        <v>31</v>
      </c>
      <c r="J357" t="s">
        <v>757</v>
      </c>
    </row>
    <row r="358" spans="1:10" x14ac:dyDescent="0.3">
      <c r="A358" t="s">
        <v>758</v>
      </c>
      <c r="B358" t="s">
        <v>18</v>
      </c>
      <c r="C358" t="s">
        <v>29</v>
      </c>
      <c r="D358">
        <v>3</v>
      </c>
      <c r="E358">
        <v>20.95</v>
      </c>
      <c r="F358" t="str">
        <f t="shared" si="10"/>
        <v>2024-07</v>
      </c>
      <c r="G358">
        <f t="shared" si="11"/>
        <v>62.849999999999994</v>
      </c>
      <c r="H358" s="2">
        <v>45494.857630524908</v>
      </c>
      <c r="I358" t="s">
        <v>31</v>
      </c>
      <c r="J358" t="s">
        <v>759</v>
      </c>
    </row>
    <row r="359" spans="1:10" x14ac:dyDescent="0.3">
      <c r="A359" t="s">
        <v>760</v>
      </c>
      <c r="B359" t="s">
        <v>18</v>
      </c>
      <c r="C359" t="s">
        <v>29</v>
      </c>
      <c r="D359">
        <v>1</v>
      </c>
      <c r="E359">
        <v>35.840000000000003</v>
      </c>
      <c r="F359" t="str">
        <f t="shared" si="10"/>
        <v>2024-06</v>
      </c>
      <c r="G359">
        <f t="shared" si="11"/>
        <v>35.840000000000003</v>
      </c>
      <c r="H359" s="2">
        <v>45460.857630524908</v>
      </c>
      <c r="I359" t="s">
        <v>33</v>
      </c>
      <c r="J359" t="s">
        <v>761</v>
      </c>
    </row>
    <row r="360" spans="1:10" x14ac:dyDescent="0.3">
      <c r="A360" t="s">
        <v>762</v>
      </c>
      <c r="B360" t="s">
        <v>16</v>
      </c>
      <c r="C360" t="s">
        <v>29</v>
      </c>
      <c r="D360">
        <v>3</v>
      </c>
      <c r="E360">
        <v>23.81</v>
      </c>
      <c r="F360" t="str">
        <f t="shared" si="10"/>
        <v>2025-02</v>
      </c>
      <c r="G360">
        <f t="shared" si="11"/>
        <v>71.429999999999993</v>
      </c>
      <c r="H360" s="2">
        <v>45695.857630524908</v>
      </c>
      <c r="I360" t="s">
        <v>33</v>
      </c>
      <c r="J360" t="s">
        <v>763</v>
      </c>
    </row>
    <row r="361" spans="1:10" x14ac:dyDescent="0.3">
      <c r="A361" t="s">
        <v>764</v>
      </c>
      <c r="B361" t="s">
        <v>26</v>
      </c>
      <c r="C361" t="s">
        <v>28</v>
      </c>
      <c r="D361">
        <v>2</v>
      </c>
      <c r="E361">
        <v>25.86</v>
      </c>
      <c r="F361" t="str">
        <f t="shared" si="10"/>
        <v>2024-12</v>
      </c>
      <c r="G361">
        <f t="shared" si="11"/>
        <v>51.72</v>
      </c>
      <c r="H361" s="2">
        <v>45627.857630524908</v>
      </c>
      <c r="I361" t="s">
        <v>34</v>
      </c>
      <c r="J361" t="s">
        <v>765</v>
      </c>
    </row>
    <row r="362" spans="1:10" x14ac:dyDescent="0.3">
      <c r="A362" t="s">
        <v>766</v>
      </c>
      <c r="B362" t="s">
        <v>26</v>
      </c>
      <c r="C362" t="s">
        <v>28</v>
      </c>
      <c r="D362">
        <v>4</v>
      </c>
      <c r="E362">
        <v>56.92</v>
      </c>
      <c r="F362" t="str">
        <f t="shared" si="10"/>
        <v>2024-08</v>
      </c>
      <c r="G362">
        <f t="shared" si="11"/>
        <v>227.68</v>
      </c>
      <c r="H362" s="2">
        <v>45524.857630524908</v>
      </c>
      <c r="I362" t="s">
        <v>34</v>
      </c>
      <c r="J362" t="s">
        <v>767</v>
      </c>
    </row>
    <row r="363" spans="1:10" x14ac:dyDescent="0.3">
      <c r="A363" t="s">
        <v>768</v>
      </c>
      <c r="B363" t="s">
        <v>25</v>
      </c>
      <c r="C363" t="s">
        <v>30</v>
      </c>
      <c r="D363">
        <v>2</v>
      </c>
      <c r="E363">
        <v>45.52</v>
      </c>
      <c r="F363" t="str">
        <f t="shared" si="10"/>
        <v>2024-08</v>
      </c>
      <c r="G363">
        <f t="shared" si="11"/>
        <v>91.04</v>
      </c>
      <c r="H363" s="2">
        <v>45519.857630524908</v>
      </c>
      <c r="I363" t="s">
        <v>32</v>
      </c>
      <c r="J363" t="s">
        <v>769</v>
      </c>
    </row>
    <row r="364" spans="1:10" x14ac:dyDescent="0.3">
      <c r="A364" t="s">
        <v>770</v>
      </c>
      <c r="B364" t="s">
        <v>16</v>
      </c>
      <c r="C364" t="s">
        <v>29</v>
      </c>
      <c r="D364">
        <v>1</v>
      </c>
      <c r="E364">
        <v>52.46</v>
      </c>
      <c r="F364" t="str">
        <f t="shared" si="10"/>
        <v>2024-11</v>
      </c>
      <c r="G364">
        <f t="shared" si="11"/>
        <v>52.46</v>
      </c>
      <c r="H364" s="2">
        <v>45597.857630524908</v>
      </c>
      <c r="I364" t="s">
        <v>31</v>
      </c>
      <c r="J364" t="s">
        <v>771</v>
      </c>
    </row>
    <row r="365" spans="1:10" x14ac:dyDescent="0.3">
      <c r="A365" t="s">
        <v>772</v>
      </c>
      <c r="B365" t="s">
        <v>19</v>
      </c>
      <c r="C365" t="s">
        <v>28</v>
      </c>
      <c r="D365">
        <v>1</v>
      </c>
      <c r="E365">
        <v>32.82</v>
      </c>
      <c r="F365" t="str">
        <f t="shared" si="10"/>
        <v>2024-12</v>
      </c>
      <c r="G365">
        <f t="shared" si="11"/>
        <v>32.82</v>
      </c>
      <c r="H365" s="2">
        <v>45640.857630524908</v>
      </c>
      <c r="I365" t="s">
        <v>35</v>
      </c>
      <c r="J365" t="s">
        <v>773</v>
      </c>
    </row>
    <row r="366" spans="1:10" x14ac:dyDescent="0.3">
      <c r="A366" t="s">
        <v>774</v>
      </c>
      <c r="B366" t="s">
        <v>16</v>
      </c>
      <c r="C366" t="s">
        <v>29</v>
      </c>
      <c r="D366">
        <v>2</v>
      </c>
      <c r="E366">
        <v>27.04</v>
      </c>
      <c r="F366" t="str">
        <f t="shared" si="10"/>
        <v>2024-10</v>
      </c>
      <c r="G366">
        <f t="shared" si="11"/>
        <v>54.08</v>
      </c>
      <c r="H366" s="2">
        <v>45570.857630524908</v>
      </c>
      <c r="I366" t="s">
        <v>31</v>
      </c>
      <c r="J366" t="s">
        <v>775</v>
      </c>
    </row>
    <row r="367" spans="1:10" x14ac:dyDescent="0.3">
      <c r="A367" t="s">
        <v>776</v>
      </c>
      <c r="B367" t="s">
        <v>24</v>
      </c>
      <c r="C367" t="s">
        <v>28</v>
      </c>
      <c r="D367">
        <v>2</v>
      </c>
      <c r="E367">
        <v>19.989999999999998</v>
      </c>
      <c r="F367" t="str">
        <f t="shared" si="10"/>
        <v>2024-06</v>
      </c>
      <c r="G367">
        <f t="shared" si="11"/>
        <v>39.979999999999997</v>
      </c>
      <c r="H367" s="2">
        <v>45463.857630524908</v>
      </c>
      <c r="I367" t="s">
        <v>32</v>
      </c>
      <c r="J367" t="s">
        <v>777</v>
      </c>
    </row>
    <row r="368" spans="1:10" x14ac:dyDescent="0.3">
      <c r="A368" t="s">
        <v>778</v>
      </c>
      <c r="B368" t="s">
        <v>19</v>
      </c>
      <c r="C368" t="s">
        <v>28</v>
      </c>
      <c r="D368">
        <v>2</v>
      </c>
      <c r="E368">
        <v>39.28</v>
      </c>
      <c r="F368" t="str">
        <f t="shared" si="10"/>
        <v>2024-05</v>
      </c>
      <c r="G368">
        <f t="shared" si="11"/>
        <v>78.56</v>
      </c>
      <c r="H368" s="2">
        <v>45436.857630524908</v>
      </c>
      <c r="I368" t="s">
        <v>32</v>
      </c>
      <c r="J368" t="s">
        <v>779</v>
      </c>
    </row>
    <row r="369" spans="1:10" x14ac:dyDescent="0.3">
      <c r="A369" t="s">
        <v>780</v>
      </c>
      <c r="B369" t="s">
        <v>17</v>
      </c>
      <c r="C369" t="s">
        <v>29</v>
      </c>
      <c r="D369">
        <v>2</v>
      </c>
      <c r="E369">
        <v>53.86</v>
      </c>
      <c r="F369" t="str">
        <f t="shared" si="10"/>
        <v>2024-05</v>
      </c>
      <c r="G369">
        <f t="shared" si="11"/>
        <v>107.72</v>
      </c>
      <c r="H369" s="2">
        <v>45417.857630524908</v>
      </c>
      <c r="I369" t="s">
        <v>33</v>
      </c>
      <c r="J369" t="s">
        <v>781</v>
      </c>
    </row>
    <row r="370" spans="1:10" x14ac:dyDescent="0.3">
      <c r="A370" t="s">
        <v>782</v>
      </c>
      <c r="B370" t="s">
        <v>17</v>
      </c>
      <c r="C370" t="s">
        <v>29</v>
      </c>
      <c r="D370">
        <v>4</v>
      </c>
      <c r="E370">
        <v>42.31</v>
      </c>
      <c r="F370" t="str">
        <f t="shared" si="10"/>
        <v>2024-05</v>
      </c>
      <c r="G370">
        <f t="shared" si="11"/>
        <v>169.24</v>
      </c>
      <c r="H370" s="2">
        <v>45426.857630524908</v>
      </c>
      <c r="I370" t="s">
        <v>33</v>
      </c>
      <c r="J370" t="s">
        <v>783</v>
      </c>
    </row>
    <row r="371" spans="1:10" x14ac:dyDescent="0.3">
      <c r="A371" t="s">
        <v>784</v>
      </c>
      <c r="B371" t="s">
        <v>19</v>
      </c>
      <c r="C371" t="s">
        <v>28</v>
      </c>
      <c r="D371">
        <v>3</v>
      </c>
      <c r="E371">
        <v>58.78</v>
      </c>
      <c r="F371" t="str">
        <f t="shared" si="10"/>
        <v>2024-09</v>
      </c>
      <c r="G371">
        <f t="shared" si="11"/>
        <v>176.34</v>
      </c>
      <c r="H371" s="2">
        <v>45559.857630524908</v>
      </c>
      <c r="I371" t="s">
        <v>33</v>
      </c>
      <c r="J371" t="s">
        <v>785</v>
      </c>
    </row>
    <row r="372" spans="1:10" x14ac:dyDescent="0.3">
      <c r="A372" t="s">
        <v>786</v>
      </c>
      <c r="B372" t="s">
        <v>16</v>
      </c>
      <c r="C372" t="s">
        <v>29</v>
      </c>
      <c r="D372">
        <v>5</v>
      </c>
      <c r="E372">
        <v>51.65</v>
      </c>
      <c r="F372" t="str">
        <f t="shared" si="10"/>
        <v>2024-08</v>
      </c>
      <c r="G372">
        <f t="shared" si="11"/>
        <v>258.25</v>
      </c>
      <c r="H372" s="2">
        <v>45505.857630524908</v>
      </c>
      <c r="I372" t="s">
        <v>35</v>
      </c>
      <c r="J372" t="s">
        <v>787</v>
      </c>
    </row>
    <row r="373" spans="1:10" x14ac:dyDescent="0.3">
      <c r="A373" t="s">
        <v>788</v>
      </c>
      <c r="B373" t="s">
        <v>18</v>
      </c>
      <c r="C373" t="s">
        <v>29</v>
      </c>
      <c r="D373">
        <v>5</v>
      </c>
      <c r="E373">
        <v>53.09</v>
      </c>
      <c r="F373" t="str">
        <f t="shared" si="10"/>
        <v>2024-05</v>
      </c>
      <c r="G373">
        <f t="shared" si="11"/>
        <v>265.45000000000005</v>
      </c>
      <c r="H373" s="2">
        <v>45413.857630524908</v>
      </c>
      <c r="I373" t="s">
        <v>32</v>
      </c>
      <c r="J373" t="s">
        <v>789</v>
      </c>
    </row>
    <row r="374" spans="1:10" x14ac:dyDescent="0.3">
      <c r="A374" t="s">
        <v>790</v>
      </c>
      <c r="B374" t="s">
        <v>25</v>
      </c>
      <c r="C374" t="s">
        <v>30</v>
      </c>
      <c r="D374">
        <v>1</v>
      </c>
      <c r="E374">
        <v>28.71</v>
      </c>
      <c r="F374" t="str">
        <f t="shared" si="10"/>
        <v>2025-02</v>
      </c>
      <c r="G374">
        <f t="shared" si="11"/>
        <v>28.71</v>
      </c>
      <c r="H374" s="2">
        <v>45708.857630524908</v>
      </c>
      <c r="I374" t="s">
        <v>33</v>
      </c>
      <c r="J374" t="s">
        <v>791</v>
      </c>
    </row>
    <row r="375" spans="1:10" x14ac:dyDescent="0.3">
      <c r="A375" t="s">
        <v>792</v>
      </c>
      <c r="B375" t="s">
        <v>21</v>
      </c>
      <c r="C375" t="s">
        <v>30</v>
      </c>
      <c r="D375">
        <v>3</v>
      </c>
      <c r="E375">
        <v>27.3</v>
      </c>
      <c r="F375" t="str">
        <f t="shared" si="10"/>
        <v>2024-09</v>
      </c>
      <c r="G375">
        <f t="shared" si="11"/>
        <v>81.900000000000006</v>
      </c>
      <c r="H375" s="2">
        <v>45544.857630524908</v>
      </c>
      <c r="I375" t="s">
        <v>35</v>
      </c>
      <c r="J375" t="s">
        <v>793</v>
      </c>
    </row>
    <row r="376" spans="1:10" x14ac:dyDescent="0.3">
      <c r="A376" t="s">
        <v>794</v>
      </c>
      <c r="B376" t="s">
        <v>25</v>
      </c>
      <c r="C376" t="s">
        <v>30</v>
      </c>
      <c r="D376">
        <v>5</v>
      </c>
      <c r="E376">
        <v>17.010000000000002</v>
      </c>
      <c r="F376" t="str">
        <f t="shared" si="10"/>
        <v>2024-09</v>
      </c>
      <c r="G376">
        <f t="shared" si="11"/>
        <v>85.050000000000011</v>
      </c>
      <c r="H376" s="2">
        <v>45557.857630524908</v>
      </c>
      <c r="I376" t="s">
        <v>35</v>
      </c>
      <c r="J376" t="s">
        <v>795</v>
      </c>
    </row>
    <row r="377" spans="1:10" x14ac:dyDescent="0.3">
      <c r="A377" t="s">
        <v>796</v>
      </c>
      <c r="B377" t="s">
        <v>23</v>
      </c>
      <c r="C377" t="s">
        <v>28</v>
      </c>
      <c r="D377">
        <v>5</v>
      </c>
      <c r="E377">
        <v>58.77</v>
      </c>
      <c r="F377" t="str">
        <f t="shared" si="10"/>
        <v>2024-05</v>
      </c>
      <c r="G377">
        <f t="shared" si="11"/>
        <v>293.85000000000002</v>
      </c>
      <c r="H377" s="2">
        <v>45434.857630524908</v>
      </c>
      <c r="I377" t="s">
        <v>32</v>
      </c>
      <c r="J377" t="s">
        <v>797</v>
      </c>
    </row>
    <row r="378" spans="1:10" x14ac:dyDescent="0.3">
      <c r="A378" t="s">
        <v>798</v>
      </c>
      <c r="B378" t="s">
        <v>20</v>
      </c>
      <c r="C378" t="s">
        <v>30</v>
      </c>
      <c r="D378">
        <v>4</v>
      </c>
      <c r="E378">
        <v>32.18</v>
      </c>
      <c r="F378" t="str">
        <f t="shared" si="10"/>
        <v>2025-02</v>
      </c>
      <c r="G378">
        <f t="shared" si="11"/>
        <v>128.72</v>
      </c>
      <c r="H378" s="2">
        <v>45715.857630524908</v>
      </c>
      <c r="I378" t="s">
        <v>32</v>
      </c>
      <c r="J378" t="s">
        <v>799</v>
      </c>
    </row>
    <row r="379" spans="1:10" x14ac:dyDescent="0.3">
      <c r="A379" t="s">
        <v>800</v>
      </c>
      <c r="B379" t="s">
        <v>16</v>
      </c>
      <c r="C379" t="s">
        <v>29</v>
      </c>
      <c r="D379">
        <v>5</v>
      </c>
      <c r="E379">
        <v>17.649999999999999</v>
      </c>
      <c r="F379" t="str">
        <f t="shared" si="10"/>
        <v>2024-06</v>
      </c>
      <c r="G379">
        <f t="shared" si="11"/>
        <v>88.25</v>
      </c>
      <c r="H379" s="2">
        <v>45465.857630524908</v>
      </c>
      <c r="I379" t="s">
        <v>32</v>
      </c>
      <c r="J379" t="s">
        <v>801</v>
      </c>
    </row>
    <row r="380" spans="1:10" x14ac:dyDescent="0.3">
      <c r="A380" t="s">
        <v>802</v>
      </c>
      <c r="B380" t="s">
        <v>20</v>
      </c>
      <c r="C380" t="s">
        <v>30</v>
      </c>
      <c r="D380">
        <v>3</v>
      </c>
      <c r="E380">
        <v>42.19</v>
      </c>
      <c r="F380" t="str">
        <f t="shared" si="10"/>
        <v>2024-12</v>
      </c>
      <c r="G380">
        <f t="shared" si="11"/>
        <v>126.57</v>
      </c>
      <c r="H380" s="2">
        <v>45640.857630524908</v>
      </c>
      <c r="I380" t="s">
        <v>31</v>
      </c>
      <c r="J380" t="s">
        <v>803</v>
      </c>
    </row>
    <row r="381" spans="1:10" x14ac:dyDescent="0.3">
      <c r="A381" t="s">
        <v>804</v>
      </c>
      <c r="B381" t="s">
        <v>16</v>
      </c>
      <c r="C381" t="s">
        <v>29</v>
      </c>
      <c r="D381">
        <v>3</v>
      </c>
      <c r="E381">
        <v>29.91</v>
      </c>
      <c r="F381" t="str">
        <f t="shared" si="10"/>
        <v>2024-04</v>
      </c>
      <c r="G381">
        <f t="shared" si="11"/>
        <v>89.73</v>
      </c>
      <c r="H381" s="2">
        <v>45395.857630524908</v>
      </c>
      <c r="I381" t="s">
        <v>32</v>
      </c>
      <c r="J381" t="s">
        <v>805</v>
      </c>
    </row>
    <row r="382" spans="1:10" x14ac:dyDescent="0.3">
      <c r="A382" t="s">
        <v>806</v>
      </c>
      <c r="B382" t="s">
        <v>20</v>
      </c>
      <c r="C382" t="s">
        <v>30</v>
      </c>
      <c r="D382">
        <v>3</v>
      </c>
      <c r="E382">
        <v>10.07</v>
      </c>
      <c r="F382" t="str">
        <f t="shared" si="10"/>
        <v>2024-10</v>
      </c>
      <c r="G382">
        <f t="shared" si="11"/>
        <v>30.21</v>
      </c>
      <c r="H382" s="2">
        <v>45594.857630524908</v>
      </c>
      <c r="I382" t="s">
        <v>34</v>
      </c>
      <c r="J382" t="s">
        <v>807</v>
      </c>
    </row>
    <row r="383" spans="1:10" x14ac:dyDescent="0.3">
      <c r="A383" t="s">
        <v>808</v>
      </c>
      <c r="B383" t="s">
        <v>20</v>
      </c>
      <c r="C383" t="s">
        <v>30</v>
      </c>
      <c r="D383">
        <v>4</v>
      </c>
      <c r="E383">
        <v>50.46</v>
      </c>
      <c r="F383" t="str">
        <f t="shared" si="10"/>
        <v>2024-05</v>
      </c>
      <c r="G383">
        <f t="shared" si="11"/>
        <v>201.84</v>
      </c>
      <c r="H383" s="2">
        <v>45438.857630524908</v>
      </c>
      <c r="I383" t="s">
        <v>32</v>
      </c>
      <c r="J383" t="s">
        <v>809</v>
      </c>
    </row>
    <row r="384" spans="1:10" x14ac:dyDescent="0.3">
      <c r="A384" t="s">
        <v>810</v>
      </c>
      <c r="B384" t="s">
        <v>18</v>
      </c>
      <c r="C384" t="s">
        <v>29</v>
      </c>
      <c r="D384">
        <v>2</v>
      </c>
      <c r="E384">
        <v>14.8</v>
      </c>
      <c r="F384" t="str">
        <f t="shared" si="10"/>
        <v>2025-02</v>
      </c>
      <c r="G384">
        <f t="shared" si="11"/>
        <v>29.6</v>
      </c>
      <c r="H384" s="2">
        <v>45713.857630524908</v>
      </c>
      <c r="I384" t="s">
        <v>33</v>
      </c>
      <c r="J384" t="s">
        <v>811</v>
      </c>
    </row>
    <row r="385" spans="1:10" x14ac:dyDescent="0.3">
      <c r="A385" t="s">
        <v>812</v>
      </c>
      <c r="B385" t="s">
        <v>24</v>
      </c>
      <c r="C385" t="s">
        <v>28</v>
      </c>
      <c r="D385">
        <v>3</v>
      </c>
      <c r="E385">
        <v>22.29</v>
      </c>
      <c r="F385" t="str">
        <f t="shared" si="10"/>
        <v>2025-02</v>
      </c>
      <c r="G385">
        <f t="shared" si="11"/>
        <v>66.87</v>
      </c>
      <c r="H385" s="2">
        <v>45704.857630524908</v>
      </c>
      <c r="I385" t="s">
        <v>35</v>
      </c>
      <c r="J385" t="s">
        <v>813</v>
      </c>
    </row>
    <row r="386" spans="1:10" x14ac:dyDescent="0.3">
      <c r="A386" t="s">
        <v>814</v>
      </c>
      <c r="B386" t="s">
        <v>26</v>
      </c>
      <c r="C386" t="s">
        <v>28</v>
      </c>
      <c r="D386">
        <v>1</v>
      </c>
      <c r="E386">
        <v>42.97</v>
      </c>
      <c r="F386" t="str">
        <f t="shared" si="10"/>
        <v>2024-07</v>
      </c>
      <c r="G386">
        <f t="shared" si="11"/>
        <v>42.97</v>
      </c>
      <c r="H386" s="2">
        <v>45494.857630524908</v>
      </c>
      <c r="I386" t="s">
        <v>34</v>
      </c>
      <c r="J386" t="s">
        <v>815</v>
      </c>
    </row>
    <row r="387" spans="1:10" x14ac:dyDescent="0.3">
      <c r="A387" t="s">
        <v>816</v>
      </c>
      <c r="B387" t="s">
        <v>16</v>
      </c>
      <c r="C387" t="s">
        <v>29</v>
      </c>
      <c r="D387">
        <v>5</v>
      </c>
      <c r="E387">
        <v>33.869999999999997</v>
      </c>
      <c r="F387" t="str">
        <f t="shared" ref="F387:F450" si="12">TEXT(H387, "yyyy-mm")</f>
        <v>2024-10</v>
      </c>
      <c r="G387">
        <f t="shared" ref="G387:G450" si="13">D387*E387</f>
        <v>169.35</v>
      </c>
      <c r="H387" s="2">
        <v>45596.857630524908</v>
      </c>
      <c r="I387" t="s">
        <v>31</v>
      </c>
      <c r="J387" t="s">
        <v>817</v>
      </c>
    </row>
    <row r="388" spans="1:10" x14ac:dyDescent="0.3">
      <c r="A388" t="s">
        <v>818</v>
      </c>
      <c r="B388" t="s">
        <v>19</v>
      </c>
      <c r="C388" t="s">
        <v>28</v>
      </c>
      <c r="D388">
        <v>4</v>
      </c>
      <c r="E388">
        <v>18.2</v>
      </c>
      <c r="F388" t="str">
        <f t="shared" si="12"/>
        <v>2024-10</v>
      </c>
      <c r="G388">
        <f t="shared" si="13"/>
        <v>72.8</v>
      </c>
      <c r="H388" s="2">
        <v>45570.857630524908</v>
      </c>
      <c r="I388" t="s">
        <v>31</v>
      </c>
      <c r="J388" t="s">
        <v>819</v>
      </c>
    </row>
    <row r="389" spans="1:10" x14ac:dyDescent="0.3">
      <c r="A389" t="s">
        <v>820</v>
      </c>
      <c r="B389" t="s">
        <v>27</v>
      </c>
      <c r="C389" t="s">
        <v>28</v>
      </c>
      <c r="D389">
        <v>5</v>
      </c>
      <c r="E389">
        <v>50.34</v>
      </c>
      <c r="F389" t="str">
        <f t="shared" si="12"/>
        <v>2025-02</v>
      </c>
      <c r="G389">
        <f t="shared" si="13"/>
        <v>251.70000000000002</v>
      </c>
      <c r="H389" s="2">
        <v>45706.857630524908</v>
      </c>
      <c r="I389" t="s">
        <v>32</v>
      </c>
      <c r="J389" t="s">
        <v>821</v>
      </c>
    </row>
    <row r="390" spans="1:10" x14ac:dyDescent="0.3">
      <c r="A390" t="s">
        <v>822</v>
      </c>
      <c r="B390" t="s">
        <v>18</v>
      </c>
      <c r="C390" t="s">
        <v>29</v>
      </c>
      <c r="D390">
        <v>2</v>
      </c>
      <c r="E390">
        <v>55.5</v>
      </c>
      <c r="F390" t="str">
        <f t="shared" si="12"/>
        <v>2024-12</v>
      </c>
      <c r="G390">
        <f t="shared" si="13"/>
        <v>111</v>
      </c>
      <c r="H390" s="2">
        <v>45651.857630524908</v>
      </c>
      <c r="I390" t="s">
        <v>31</v>
      </c>
      <c r="J390" t="s">
        <v>823</v>
      </c>
    </row>
    <row r="391" spans="1:10" x14ac:dyDescent="0.3">
      <c r="A391" t="s">
        <v>824</v>
      </c>
      <c r="B391" t="s">
        <v>17</v>
      </c>
      <c r="C391" t="s">
        <v>29</v>
      </c>
      <c r="D391">
        <v>1</v>
      </c>
      <c r="E391">
        <v>42.78</v>
      </c>
      <c r="F391" t="str">
        <f t="shared" si="12"/>
        <v>2024-12</v>
      </c>
      <c r="G391">
        <f t="shared" si="13"/>
        <v>42.78</v>
      </c>
      <c r="H391" s="2">
        <v>45629.857630524908</v>
      </c>
      <c r="I391" t="s">
        <v>34</v>
      </c>
      <c r="J391" t="s">
        <v>825</v>
      </c>
    </row>
    <row r="392" spans="1:10" x14ac:dyDescent="0.3">
      <c r="A392" t="s">
        <v>826</v>
      </c>
      <c r="B392" t="s">
        <v>26</v>
      </c>
      <c r="C392" t="s">
        <v>28</v>
      </c>
      <c r="D392">
        <v>3</v>
      </c>
      <c r="E392">
        <v>21.52</v>
      </c>
      <c r="F392" t="str">
        <f t="shared" si="12"/>
        <v>2025-04</v>
      </c>
      <c r="G392">
        <f t="shared" si="13"/>
        <v>64.56</v>
      </c>
      <c r="H392" s="2">
        <v>45750.857630524908</v>
      </c>
      <c r="I392" t="s">
        <v>32</v>
      </c>
      <c r="J392" t="s">
        <v>827</v>
      </c>
    </row>
    <row r="393" spans="1:10" x14ac:dyDescent="0.3">
      <c r="A393" t="s">
        <v>828</v>
      </c>
      <c r="B393" t="s">
        <v>23</v>
      </c>
      <c r="C393" t="s">
        <v>28</v>
      </c>
      <c r="D393">
        <v>3</v>
      </c>
      <c r="E393">
        <v>20.32</v>
      </c>
      <c r="F393" t="str">
        <f t="shared" si="12"/>
        <v>2025-02</v>
      </c>
      <c r="G393">
        <f t="shared" si="13"/>
        <v>60.96</v>
      </c>
      <c r="H393" s="2">
        <v>45694.857630524908</v>
      </c>
      <c r="I393" t="s">
        <v>34</v>
      </c>
      <c r="J393" t="s">
        <v>829</v>
      </c>
    </row>
    <row r="394" spans="1:10" x14ac:dyDescent="0.3">
      <c r="A394" t="s">
        <v>830</v>
      </c>
      <c r="B394" t="s">
        <v>18</v>
      </c>
      <c r="C394" t="s">
        <v>29</v>
      </c>
      <c r="D394">
        <v>5</v>
      </c>
      <c r="E394">
        <v>18.07</v>
      </c>
      <c r="F394" t="str">
        <f t="shared" si="12"/>
        <v>2024-06</v>
      </c>
      <c r="G394">
        <f t="shared" si="13"/>
        <v>90.35</v>
      </c>
      <c r="H394" s="2">
        <v>45450.857630524908</v>
      </c>
      <c r="I394" t="s">
        <v>34</v>
      </c>
      <c r="J394" t="s">
        <v>831</v>
      </c>
    </row>
    <row r="395" spans="1:10" x14ac:dyDescent="0.3">
      <c r="A395" t="s">
        <v>832</v>
      </c>
      <c r="B395" t="s">
        <v>16</v>
      </c>
      <c r="C395" t="s">
        <v>29</v>
      </c>
      <c r="D395">
        <v>3</v>
      </c>
      <c r="E395">
        <v>10.56</v>
      </c>
      <c r="F395" t="str">
        <f t="shared" si="12"/>
        <v>2024-07</v>
      </c>
      <c r="G395">
        <f t="shared" si="13"/>
        <v>31.68</v>
      </c>
      <c r="H395" s="2">
        <v>45483.857630524908</v>
      </c>
      <c r="I395" t="s">
        <v>33</v>
      </c>
      <c r="J395" t="s">
        <v>833</v>
      </c>
    </row>
    <row r="396" spans="1:10" x14ac:dyDescent="0.3">
      <c r="A396" t="s">
        <v>834</v>
      </c>
      <c r="B396" t="s">
        <v>20</v>
      </c>
      <c r="C396" t="s">
        <v>30</v>
      </c>
      <c r="D396">
        <v>1</v>
      </c>
      <c r="E396">
        <v>30.63</v>
      </c>
      <c r="F396" t="str">
        <f t="shared" si="12"/>
        <v>2024-11</v>
      </c>
      <c r="G396">
        <f t="shared" si="13"/>
        <v>30.63</v>
      </c>
      <c r="H396" s="2">
        <v>45608.857630524908</v>
      </c>
      <c r="I396" t="s">
        <v>33</v>
      </c>
      <c r="J396" t="s">
        <v>835</v>
      </c>
    </row>
    <row r="397" spans="1:10" x14ac:dyDescent="0.3">
      <c r="A397" t="s">
        <v>836</v>
      </c>
      <c r="B397" t="s">
        <v>26</v>
      </c>
      <c r="C397" t="s">
        <v>28</v>
      </c>
      <c r="D397">
        <v>3</v>
      </c>
      <c r="E397">
        <v>55.44</v>
      </c>
      <c r="F397" t="str">
        <f t="shared" si="12"/>
        <v>2024-04</v>
      </c>
      <c r="G397">
        <f t="shared" si="13"/>
        <v>166.32</v>
      </c>
      <c r="H397" s="2">
        <v>45398.857630524908</v>
      </c>
      <c r="I397" t="s">
        <v>34</v>
      </c>
      <c r="J397" t="s">
        <v>837</v>
      </c>
    </row>
    <row r="398" spans="1:10" x14ac:dyDescent="0.3">
      <c r="A398" t="s">
        <v>838</v>
      </c>
      <c r="B398" t="s">
        <v>26</v>
      </c>
      <c r="C398" t="s">
        <v>28</v>
      </c>
      <c r="D398">
        <v>2</v>
      </c>
      <c r="E398">
        <v>17.64</v>
      </c>
      <c r="F398" t="str">
        <f t="shared" si="12"/>
        <v>2024-06</v>
      </c>
      <c r="G398">
        <f t="shared" si="13"/>
        <v>35.28</v>
      </c>
      <c r="H398" s="2">
        <v>45456.857630524908</v>
      </c>
      <c r="I398" t="s">
        <v>35</v>
      </c>
      <c r="J398" t="s">
        <v>839</v>
      </c>
    </row>
    <row r="399" spans="1:10" x14ac:dyDescent="0.3">
      <c r="A399" t="s">
        <v>840</v>
      </c>
      <c r="B399" t="s">
        <v>20</v>
      </c>
      <c r="C399" t="s">
        <v>30</v>
      </c>
      <c r="D399">
        <v>5</v>
      </c>
      <c r="E399">
        <v>34.06</v>
      </c>
      <c r="F399" t="str">
        <f t="shared" si="12"/>
        <v>2024-07</v>
      </c>
      <c r="G399">
        <f t="shared" si="13"/>
        <v>170.3</v>
      </c>
      <c r="H399" s="2">
        <v>45492.857630524908</v>
      </c>
      <c r="I399" t="s">
        <v>33</v>
      </c>
      <c r="J399" t="s">
        <v>841</v>
      </c>
    </row>
    <row r="400" spans="1:10" x14ac:dyDescent="0.3">
      <c r="A400" t="s">
        <v>842</v>
      </c>
      <c r="B400" t="s">
        <v>16</v>
      </c>
      <c r="C400" t="s">
        <v>29</v>
      </c>
      <c r="D400">
        <v>1</v>
      </c>
      <c r="E400">
        <v>38.92</v>
      </c>
      <c r="F400" t="str">
        <f t="shared" si="12"/>
        <v>2024-05</v>
      </c>
      <c r="G400">
        <f t="shared" si="13"/>
        <v>38.92</v>
      </c>
      <c r="H400" s="2">
        <v>45438.857630524908</v>
      </c>
      <c r="I400" t="s">
        <v>32</v>
      </c>
      <c r="J400" t="s">
        <v>843</v>
      </c>
    </row>
    <row r="401" spans="1:10" x14ac:dyDescent="0.3">
      <c r="A401" t="s">
        <v>844</v>
      </c>
      <c r="B401" t="s">
        <v>18</v>
      </c>
      <c r="C401" t="s">
        <v>29</v>
      </c>
      <c r="D401">
        <v>1</v>
      </c>
      <c r="E401">
        <v>15.64</v>
      </c>
      <c r="F401" t="str">
        <f t="shared" si="12"/>
        <v>2024-05</v>
      </c>
      <c r="G401">
        <f t="shared" si="13"/>
        <v>15.64</v>
      </c>
      <c r="H401" s="2">
        <v>45417.857630524908</v>
      </c>
      <c r="I401" t="s">
        <v>35</v>
      </c>
      <c r="J401" t="s">
        <v>845</v>
      </c>
    </row>
    <row r="402" spans="1:10" x14ac:dyDescent="0.3">
      <c r="A402" t="s">
        <v>846</v>
      </c>
      <c r="B402" t="s">
        <v>23</v>
      </c>
      <c r="C402" t="s">
        <v>28</v>
      </c>
      <c r="D402">
        <v>5</v>
      </c>
      <c r="E402">
        <v>10.24</v>
      </c>
      <c r="F402" t="str">
        <f t="shared" si="12"/>
        <v>2025-02</v>
      </c>
      <c r="G402">
        <f t="shared" si="13"/>
        <v>51.2</v>
      </c>
      <c r="H402" s="2">
        <v>45691.857630524908</v>
      </c>
      <c r="I402" t="s">
        <v>35</v>
      </c>
      <c r="J402" t="s">
        <v>847</v>
      </c>
    </row>
    <row r="403" spans="1:10" x14ac:dyDescent="0.3">
      <c r="A403" t="s">
        <v>848</v>
      </c>
      <c r="B403" t="s">
        <v>20</v>
      </c>
      <c r="C403" t="s">
        <v>30</v>
      </c>
      <c r="D403">
        <v>3</v>
      </c>
      <c r="E403">
        <v>43.93</v>
      </c>
      <c r="F403" t="str">
        <f t="shared" si="12"/>
        <v>2024-11</v>
      </c>
      <c r="G403">
        <f t="shared" si="13"/>
        <v>131.79</v>
      </c>
      <c r="H403" s="2">
        <v>45626.857630524908</v>
      </c>
      <c r="I403" t="s">
        <v>31</v>
      </c>
      <c r="J403" t="s">
        <v>849</v>
      </c>
    </row>
    <row r="404" spans="1:10" x14ac:dyDescent="0.3">
      <c r="A404" t="s">
        <v>850</v>
      </c>
      <c r="B404" t="s">
        <v>16</v>
      </c>
      <c r="C404" t="s">
        <v>29</v>
      </c>
      <c r="D404">
        <v>1</v>
      </c>
      <c r="E404">
        <v>29.47</v>
      </c>
      <c r="F404" t="str">
        <f t="shared" si="12"/>
        <v>2024-08</v>
      </c>
      <c r="G404">
        <f t="shared" si="13"/>
        <v>29.47</v>
      </c>
      <c r="H404" s="2">
        <v>45511.857630524908</v>
      </c>
      <c r="I404" t="s">
        <v>35</v>
      </c>
      <c r="J404" t="s">
        <v>851</v>
      </c>
    </row>
    <row r="405" spans="1:10" x14ac:dyDescent="0.3">
      <c r="A405" t="s">
        <v>852</v>
      </c>
      <c r="B405" t="s">
        <v>17</v>
      </c>
      <c r="C405" t="s">
        <v>29</v>
      </c>
      <c r="D405">
        <v>4</v>
      </c>
      <c r="E405">
        <v>20.62</v>
      </c>
      <c r="F405" t="str">
        <f t="shared" si="12"/>
        <v>2025-01</v>
      </c>
      <c r="G405">
        <f t="shared" si="13"/>
        <v>82.48</v>
      </c>
      <c r="H405" s="2">
        <v>45663.857630524908</v>
      </c>
      <c r="I405" t="s">
        <v>33</v>
      </c>
      <c r="J405" t="s">
        <v>853</v>
      </c>
    </row>
    <row r="406" spans="1:10" x14ac:dyDescent="0.3">
      <c r="A406" t="s">
        <v>854</v>
      </c>
      <c r="B406" t="s">
        <v>25</v>
      </c>
      <c r="C406" t="s">
        <v>30</v>
      </c>
      <c r="D406">
        <v>4</v>
      </c>
      <c r="E406">
        <v>14.41</v>
      </c>
      <c r="F406" t="str">
        <f t="shared" si="12"/>
        <v>2025-03</v>
      </c>
      <c r="G406">
        <f t="shared" si="13"/>
        <v>57.64</v>
      </c>
      <c r="H406" s="2">
        <v>45732.857630524908</v>
      </c>
      <c r="I406" t="s">
        <v>31</v>
      </c>
      <c r="J406" t="s">
        <v>855</v>
      </c>
    </row>
    <row r="407" spans="1:10" x14ac:dyDescent="0.3">
      <c r="A407" t="s">
        <v>856</v>
      </c>
      <c r="B407" t="s">
        <v>21</v>
      </c>
      <c r="C407" t="s">
        <v>30</v>
      </c>
      <c r="D407">
        <v>2</v>
      </c>
      <c r="E407">
        <v>55.91</v>
      </c>
      <c r="F407" t="str">
        <f t="shared" si="12"/>
        <v>2025-01</v>
      </c>
      <c r="G407">
        <f t="shared" si="13"/>
        <v>111.82</v>
      </c>
      <c r="H407" s="2">
        <v>45669.857630524908</v>
      </c>
      <c r="I407" t="s">
        <v>32</v>
      </c>
      <c r="J407" t="s">
        <v>857</v>
      </c>
    </row>
    <row r="408" spans="1:10" x14ac:dyDescent="0.3">
      <c r="A408" t="s">
        <v>858</v>
      </c>
      <c r="B408" t="s">
        <v>27</v>
      </c>
      <c r="C408" t="s">
        <v>28</v>
      </c>
      <c r="D408">
        <v>4</v>
      </c>
      <c r="E408">
        <v>43.75</v>
      </c>
      <c r="F408" t="str">
        <f t="shared" si="12"/>
        <v>2025-02</v>
      </c>
      <c r="G408">
        <f t="shared" si="13"/>
        <v>175</v>
      </c>
      <c r="H408" s="2">
        <v>45693.857630524908</v>
      </c>
      <c r="I408" t="s">
        <v>33</v>
      </c>
      <c r="J408" t="s">
        <v>859</v>
      </c>
    </row>
    <row r="409" spans="1:10" x14ac:dyDescent="0.3">
      <c r="A409" t="s">
        <v>860</v>
      </c>
      <c r="B409" t="s">
        <v>26</v>
      </c>
      <c r="C409" t="s">
        <v>28</v>
      </c>
      <c r="D409">
        <v>4</v>
      </c>
      <c r="E409">
        <v>45.59</v>
      </c>
      <c r="F409" t="str">
        <f t="shared" si="12"/>
        <v>2025-03</v>
      </c>
      <c r="G409">
        <f t="shared" si="13"/>
        <v>182.36</v>
      </c>
      <c r="H409" s="2">
        <v>45742.857630524908</v>
      </c>
      <c r="I409" t="s">
        <v>33</v>
      </c>
      <c r="J409" t="s">
        <v>861</v>
      </c>
    </row>
    <row r="410" spans="1:10" x14ac:dyDescent="0.3">
      <c r="A410" t="s">
        <v>862</v>
      </c>
      <c r="B410" t="s">
        <v>18</v>
      </c>
      <c r="C410" t="s">
        <v>29</v>
      </c>
      <c r="D410">
        <v>4</v>
      </c>
      <c r="E410">
        <v>50.6</v>
      </c>
      <c r="F410" t="str">
        <f t="shared" si="12"/>
        <v>2025-02</v>
      </c>
      <c r="G410">
        <f t="shared" si="13"/>
        <v>202.4</v>
      </c>
      <c r="H410" s="2">
        <v>45690.857630524908</v>
      </c>
      <c r="I410" t="s">
        <v>31</v>
      </c>
      <c r="J410" t="s">
        <v>863</v>
      </c>
    </row>
    <row r="411" spans="1:10" x14ac:dyDescent="0.3">
      <c r="A411" t="s">
        <v>864</v>
      </c>
      <c r="B411" t="s">
        <v>20</v>
      </c>
      <c r="C411" t="s">
        <v>30</v>
      </c>
      <c r="D411">
        <v>4</v>
      </c>
      <c r="E411">
        <v>54.86</v>
      </c>
      <c r="F411" t="str">
        <f t="shared" si="12"/>
        <v>2024-08</v>
      </c>
      <c r="G411">
        <f t="shared" si="13"/>
        <v>219.44</v>
      </c>
      <c r="H411" s="2">
        <v>45528.857630524908</v>
      </c>
      <c r="I411" t="s">
        <v>32</v>
      </c>
      <c r="J411" t="s">
        <v>865</v>
      </c>
    </row>
    <row r="412" spans="1:10" x14ac:dyDescent="0.3">
      <c r="A412" t="s">
        <v>866</v>
      </c>
      <c r="B412" t="s">
        <v>25</v>
      </c>
      <c r="C412" t="s">
        <v>30</v>
      </c>
      <c r="D412">
        <v>3</v>
      </c>
      <c r="E412">
        <v>52.15</v>
      </c>
      <c r="F412" t="str">
        <f t="shared" si="12"/>
        <v>2024-11</v>
      </c>
      <c r="G412">
        <f t="shared" si="13"/>
        <v>156.44999999999999</v>
      </c>
      <c r="H412" s="2">
        <v>45605.857630524908</v>
      </c>
      <c r="I412" t="s">
        <v>32</v>
      </c>
      <c r="J412" t="s">
        <v>867</v>
      </c>
    </row>
    <row r="413" spans="1:10" x14ac:dyDescent="0.3">
      <c r="A413" t="s">
        <v>868</v>
      </c>
      <c r="B413" t="s">
        <v>16</v>
      </c>
      <c r="C413" t="s">
        <v>29</v>
      </c>
      <c r="D413">
        <v>4</v>
      </c>
      <c r="E413">
        <v>11.77</v>
      </c>
      <c r="F413" t="str">
        <f t="shared" si="12"/>
        <v>2024-11</v>
      </c>
      <c r="G413">
        <f t="shared" si="13"/>
        <v>47.08</v>
      </c>
      <c r="H413" s="2">
        <v>45603.857630524908</v>
      </c>
      <c r="I413" t="s">
        <v>34</v>
      </c>
      <c r="J413" t="s">
        <v>869</v>
      </c>
    </row>
    <row r="414" spans="1:10" x14ac:dyDescent="0.3">
      <c r="A414" t="s">
        <v>870</v>
      </c>
      <c r="B414" t="s">
        <v>22</v>
      </c>
      <c r="C414" t="s">
        <v>30</v>
      </c>
      <c r="D414">
        <v>1</v>
      </c>
      <c r="E414">
        <v>41.14</v>
      </c>
      <c r="F414" t="str">
        <f t="shared" si="12"/>
        <v>2024-07</v>
      </c>
      <c r="G414">
        <f t="shared" si="13"/>
        <v>41.14</v>
      </c>
      <c r="H414" s="2">
        <v>45489.857630524908</v>
      </c>
      <c r="I414" t="s">
        <v>33</v>
      </c>
      <c r="J414" t="s">
        <v>871</v>
      </c>
    </row>
    <row r="415" spans="1:10" x14ac:dyDescent="0.3">
      <c r="A415" t="s">
        <v>872</v>
      </c>
      <c r="B415" t="s">
        <v>18</v>
      </c>
      <c r="C415" t="s">
        <v>29</v>
      </c>
      <c r="D415">
        <v>1</v>
      </c>
      <c r="E415">
        <v>28.21</v>
      </c>
      <c r="F415" t="str">
        <f t="shared" si="12"/>
        <v>2024-07</v>
      </c>
      <c r="G415">
        <f t="shared" si="13"/>
        <v>28.21</v>
      </c>
      <c r="H415" s="2">
        <v>45484.857630524908</v>
      </c>
      <c r="I415" t="s">
        <v>31</v>
      </c>
      <c r="J415" t="s">
        <v>873</v>
      </c>
    </row>
    <row r="416" spans="1:10" x14ac:dyDescent="0.3">
      <c r="A416" t="s">
        <v>874</v>
      </c>
      <c r="B416" t="s">
        <v>23</v>
      </c>
      <c r="C416" t="s">
        <v>28</v>
      </c>
      <c r="D416">
        <v>4</v>
      </c>
      <c r="E416">
        <v>32.299999999999997</v>
      </c>
      <c r="F416" t="str">
        <f t="shared" si="12"/>
        <v>2025-02</v>
      </c>
      <c r="G416">
        <f t="shared" si="13"/>
        <v>129.19999999999999</v>
      </c>
      <c r="H416" s="2">
        <v>45696.857630524908</v>
      </c>
      <c r="I416" t="s">
        <v>35</v>
      </c>
      <c r="J416" t="s">
        <v>875</v>
      </c>
    </row>
    <row r="417" spans="1:10" x14ac:dyDescent="0.3">
      <c r="A417" t="s">
        <v>876</v>
      </c>
      <c r="B417" t="s">
        <v>23</v>
      </c>
      <c r="C417" t="s">
        <v>28</v>
      </c>
      <c r="D417">
        <v>3</v>
      </c>
      <c r="E417">
        <v>14.67</v>
      </c>
      <c r="F417" t="str">
        <f t="shared" si="12"/>
        <v>2024-07</v>
      </c>
      <c r="G417">
        <f t="shared" si="13"/>
        <v>44.01</v>
      </c>
      <c r="H417" s="2">
        <v>45474.857630524908</v>
      </c>
      <c r="I417" t="s">
        <v>34</v>
      </c>
      <c r="J417" t="s">
        <v>877</v>
      </c>
    </row>
    <row r="418" spans="1:10" x14ac:dyDescent="0.3">
      <c r="A418" t="s">
        <v>878</v>
      </c>
      <c r="B418" t="s">
        <v>22</v>
      </c>
      <c r="C418" t="s">
        <v>30</v>
      </c>
      <c r="D418">
        <v>1</v>
      </c>
      <c r="E418">
        <v>13.62</v>
      </c>
      <c r="F418" t="str">
        <f t="shared" si="12"/>
        <v>2025-02</v>
      </c>
      <c r="G418">
        <f t="shared" si="13"/>
        <v>13.62</v>
      </c>
      <c r="H418" s="2">
        <v>45705.857630524908</v>
      </c>
      <c r="I418" t="s">
        <v>32</v>
      </c>
      <c r="J418" t="s">
        <v>879</v>
      </c>
    </row>
    <row r="419" spans="1:10" x14ac:dyDescent="0.3">
      <c r="A419" t="s">
        <v>880</v>
      </c>
      <c r="B419" t="s">
        <v>16</v>
      </c>
      <c r="C419" t="s">
        <v>29</v>
      </c>
      <c r="D419">
        <v>4</v>
      </c>
      <c r="E419">
        <v>59.78</v>
      </c>
      <c r="F419" t="str">
        <f t="shared" si="12"/>
        <v>2024-06</v>
      </c>
      <c r="G419">
        <f t="shared" si="13"/>
        <v>239.12</v>
      </c>
      <c r="H419" s="2">
        <v>45449.857630524908</v>
      </c>
      <c r="I419" t="s">
        <v>31</v>
      </c>
      <c r="J419" t="s">
        <v>881</v>
      </c>
    </row>
    <row r="420" spans="1:10" x14ac:dyDescent="0.3">
      <c r="A420" t="s">
        <v>882</v>
      </c>
      <c r="B420" t="s">
        <v>17</v>
      </c>
      <c r="C420" t="s">
        <v>29</v>
      </c>
      <c r="D420">
        <v>1</v>
      </c>
      <c r="E420">
        <v>34.520000000000003</v>
      </c>
      <c r="F420" t="str">
        <f t="shared" si="12"/>
        <v>2024-11</v>
      </c>
      <c r="G420">
        <f t="shared" si="13"/>
        <v>34.520000000000003</v>
      </c>
      <c r="H420" s="2">
        <v>45608.857630524908</v>
      </c>
      <c r="I420" t="s">
        <v>34</v>
      </c>
      <c r="J420" t="s">
        <v>883</v>
      </c>
    </row>
    <row r="421" spans="1:10" x14ac:dyDescent="0.3">
      <c r="A421" t="s">
        <v>884</v>
      </c>
      <c r="B421" t="s">
        <v>17</v>
      </c>
      <c r="C421" t="s">
        <v>29</v>
      </c>
      <c r="D421">
        <v>2</v>
      </c>
      <c r="E421">
        <v>47.04</v>
      </c>
      <c r="F421" t="str">
        <f t="shared" si="12"/>
        <v>2025-04</v>
      </c>
      <c r="G421">
        <f t="shared" si="13"/>
        <v>94.08</v>
      </c>
      <c r="H421" s="2">
        <v>45749.857630524908</v>
      </c>
      <c r="I421" t="s">
        <v>34</v>
      </c>
      <c r="J421" t="s">
        <v>885</v>
      </c>
    </row>
    <row r="422" spans="1:10" x14ac:dyDescent="0.3">
      <c r="A422" t="s">
        <v>886</v>
      </c>
      <c r="B422" t="s">
        <v>16</v>
      </c>
      <c r="C422" t="s">
        <v>29</v>
      </c>
      <c r="D422">
        <v>4</v>
      </c>
      <c r="E422">
        <v>45.54</v>
      </c>
      <c r="F422" t="str">
        <f t="shared" si="12"/>
        <v>2024-05</v>
      </c>
      <c r="G422">
        <f t="shared" si="13"/>
        <v>182.16</v>
      </c>
      <c r="H422" s="2">
        <v>45439.857630524908</v>
      </c>
      <c r="I422" t="s">
        <v>32</v>
      </c>
      <c r="J422" t="s">
        <v>887</v>
      </c>
    </row>
    <row r="423" spans="1:10" x14ac:dyDescent="0.3">
      <c r="A423" t="s">
        <v>888</v>
      </c>
      <c r="B423" t="s">
        <v>21</v>
      </c>
      <c r="C423" t="s">
        <v>30</v>
      </c>
      <c r="D423">
        <v>3</v>
      </c>
      <c r="E423">
        <v>29.09</v>
      </c>
      <c r="F423" t="str">
        <f t="shared" si="12"/>
        <v>2024-05</v>
      </c>
      <c r="G423">
        <f t="shared" si="13"/>
        <v>87.27</v>
      </c>
      <c r="H423" s="2">
        <v>45425.857630524908</v>
      </c>
      <c r="I423" t="s">
        <v>34</v>
      </c>
      <c r="J423" t="s">
        <v>889</v>
      </c>
    </row>
    <row r="424" spans="1:10" x14ac:dyDescent="0.3">
      <c r="A424" t="s">
        <v>890</v>
      </c>
      <c r="B424" t="s">
        <v>18</v>
      </c>
      <c r="C424" t="s">
        <v>29</v>
      </c>
      <c r="D424">
        <v>2</v>
      </c>
      <c r="E424">
        <v>13.82</v>
      </c>
      <c r="F424" t="str">
        <f t="shared" si="12"/>
        <v>2025-03</v>
      </c>
      <c r="G424">
        <f t="shared" si="13"/>
        <v>27.64</v>
      </c>
      <c r="H424" s="2">
        <v>45718.857630524908</v>
      </c>
      <c r="I424" t="s">
        <v>31</v>
      </c>
      <c r="J424" t="s">
        <v>891</v>
      </c>
    </row>
    <row r="425" spans="1:10" x14ac:dyDescent="0.3">
      <c r="A425" t="s">
        <v>892</v>
      </c>
      <c r="B425" t="s">
        <v>21</v>
      </c>
      <c r="C425" t="s">
        <v>30</v>
      </c>
      <c r="D425">
        <v>2</v>
      </c>
      <c r="E425">
        <v>38.67</v>
      </c>
      <c r="F425" t="str">
        <f t="shared" si="12"/>
        <v>2025-01</v>
      </c>
      <c r="G425">
        <f t="shared" si="13"/>
        <v>77.34</v>
      </c>
      <c r="H425" s="2">
        <v>45683.857630524908</v>
      </c>
      <c r="I425" t="s">
        <v>32</v>
      </c>
      <c r="J425" t="s">
        <v>893</v>
      </c>
    </row>
    <row r="426" spans="1:10" x14ac:dyDescent="0.3">
      <c r="A426" t="s">
        <v>894</v>
      </c>
      <c r="B426" t="s">
        <v>20</v>
      </c>
      <c r="C426" t="s">
        <v>30</v>
      </c>
      <c r="D426">
        <v>5</v>
      </c>
      <c r="E426">
        <v>58.63</v>
      </c>
      <c r="F426" t="str">
        <f t="shared" si="12"/>
        <v>2024-05</v>
      </c>
      <c r="G426">
        <f t="shared" si="13"/>
        <v>293.15000000000003</v>
      </c>
      <c r="H426" s="2">
        <v>45427.857630524908</v>
      </c>
      <c r="I426" t="s">
        <v>34</v>
      </c>
      <c r="J426" t="s">
        <v>895</v>
      </c>
    </row>
    <row r="427" spans="1:10" x14ac:dyDescent="0.3">
      <c r="A427" t="s">
        <v>896</v>
      </c>
      <c r="B427" t="s">
        <v>24</v>
      </c>
      <c r="C427" t="s">
        <v>28</v>
      </c>
      <c r="D427">
        <v>1</v>
      </c>
      <c r="E427">
        <v>59.02</v>
      </c>
      <c r="F427" t="str">
        <f t="shared" si="12"/>
        <v>2024-12</v>
      </c>
      <c r="G427">
        <f t="shared" si="13"/>
        <v>59.02</v>
      </c>
      <c r="H427" s="2">
        <v>45653.857630524908</v>
      </c>
      <c r="I427" t="s">
        <v>34</v>
      </c>
      <c r="J427" t="s">
        <v>897</v>
      </c>
    </row>
    <row r="428" spans="1:10" x14ac:dyDescent="0.3">
      <c r="A428" t="s">
        <v>898</v>
      </c>
      <c r="B428" t="s">
        <v>20</v>
      </c>
      <c r="C428" t="s">
        <v>30</v>
      </c>
      <c r="D428">
        <v>2</v>
      </c>
      <c r="E428">
        <v>40.06</v>
      </c>
      <c r="F428" t="str">
        <f t="shared" si="12"/>
        <v>2024-11</v>
      </c>
      <c r="G428">
        <f t="shared" si="13"/>
        <v>80.12</v>
      </c>
      <c r="H428" s="2">
        <v>45597.857630524908</v>
      </c>
      <c r="I428" t="s">
        <v>32</v>
      </c>
      <c r="J428" t="s">
        <v>899</v>
      </c>
    </row>
    <row r="429" spans="1:10" x14ac:dyDescent="0.3">
      <c r="A429" t="s">
        <v>900</v>
      </c>
      <c r="B429" t="s">
        <v>24</v>
      </c>
      <c r="C429" t="s">
        <v>28</v>
      </c>
      <c r="D429">
        <v>4</v>
      </c>
      <c r="E429">
        <v>23.19</v>
      </c>
      <c r="F429" t="str">
        <f t="shared" si="12"/>
        <v>2025-03</v>
      </c>
      <c r="G429">
        <f t="shared" si="13"/>
        <v>92.76</v>
      </c>
      <c r="H429" s="2">
        <v>45727.857630524908</v>
      </c>
      <c r="I429" t="s">
        <v>32</v>
      </c>
      <c r="J429" t="s">
        <v>901</v>
      </c>
    </row>
    <row r="430" spans="1:10" x14ac:dyDescent="0.3">
      <c r="A430" t="s">
        <v>902</v>
      </c>
      <c r="B430" t="s">
        <v>18</v>
      </c>
      <c r="C430" t="s">
        <v>29</v>
      </c>
      <c r="D430">
        <v>1</v>
      </c>
      <c r="E430">
        <v>13.54</v>
      </c>
      <c r="F430" t="str">
        <f t="shared" si="12"/>
        <v>2025-02</v>
      </c>
      <c r="G430">
        <f t="shared" si="13"/>
        <v>13.54</v>
      </c>
      <c r="H430" s="2">
        <v>45697.857630524908</v>
      </c>
      <c r="I430" t="s">
        <v>31</v>
      </c>
      <c r="J430" t="s">
        <v>903</v>
      </c>
    </row>
    <row r="431" spans="1:10" x14ac:dyDescent="0.3">
      <c r="A431" t="s">
        <v>904</v>
      </c>
      <c r="B431" t="s">
        <v>19</v>
      </c>
      <c r="C431" t="s">
        <v>28</v>
      </c>
      <c r="D431">
        <v>5</v>
      </c>
      <c r="E431">
        <v>28.33</v>
      </c>
      <c r="F431" t="str">
        <f t="shared" si="12"/>
        <v>2024-10</v>
      </c>
      <c r="G431">
        <f t="shared" si="13"/>
        <v>141.64999999999998</v>
      </c>
      <c r="H431" s="2">
        <v>45566.857630524908</v>
      </c>
      <c r="I431" t="s">
        <v>33</v>
      </c>
      <c r="J431" t="s">
        <v>905</v>
      </c>
    </row>
    <row r="432" spans="1:10" x14ac:dyDescent="0.3">
      <c r="A432" t="s">
        <v>906</v>
      </c>
      <c r="B432" t="s">
        <v>22</v>
      </c>
      <c r="C432" t="s">
        <v>30</v>
      </c>
      <c r="D432">
        <v>1</v>
      </c>
      <c r="E432">
        <v>29.52</v>
      </c>
      <c r="F432" t="str">
        <f t="shared" si="12"/>
        <v>2025-02</v>
      </c>
      <c r="G432">
        <f t="shared" si="13"/>
        <v>29.52</v>
      </c>
      <c r="H432" s="2">
        <v>45690.857630524908</v>
      </c>
      <c r="I432" t="s">
        <v>32</v>
      </c>
      <c r="J432" t="s">
        <v>907</v>
      </c>
    </row>
    <row r="433" spans="1:10" x14ac:dyDescent="0.3">
      <c r="A433" t="s">
        <v>908</v>
      </c>
      <c r="B433" t="s">
        <v>23</v>
      </c>
      <c r="C433" t="s">
        <v>28</v>
      </c>
      <c r="D433">
        <v>2</v>
      </c>
      <c r="E433">
        <v>39.29</v>
      </c>
      <c r="F433" t="str">
        <f t="shared" si="12"/>
        <v>2024-10</v>
      </c>
      <c r="G433">
        <f t="shared" si="13"/>
        <v>78.58</v>
      </c>
      <c r="H433" s="2">
        <v>45578.857630524908</v>
      </c>
      <c r="I433" t="s">
        <v>35</v>
      </c>
      <c r="J433" t="s">
        <v>909</v>
      </c>
    </row>
    <row r="434" spans="1:10" x14ac:dyDescent="0.3">
      <c r="A434" t="s">
        <v>910</v>
      </c>
      <c r="B434" t="s">
        <v>17</v>
      </c>
      <c r="C434" t="s">
        <v>29</v>
      </c>
      <c r="D434">
        <v>4</v>
      </c>
      <c r="E434">
        <v>40.44</v>
      </c>
      <c r="F434" t="str">
        <f t="shared" si="12"/>
        <v>2024-06</v>
      </c>
      <c r="G434">
        <f t="shared" si="13"/>
        <v>161.76</v>
      </c>
      <c r="H434" s="2">
        <v>45458.857630524908</v>
      </c>
      <c r="I434" t="s">
        <v>33</v>
      </c>
      <c r="J434" t="s">
        <v>911</v>
      </c>
    </row>
    <row r="435" spans="1:10" x14ac:dyDescent="0.3">
      <c r="A435" t="s">
        <v>912</v>
      </c>
      <c r="B435" t="s">
        <v>27</v>
      </c>
      <c r="C435" t="s">
        <v>28</v>
      </c>
      <c r="D435">
        <v>4</v>
      </c>
      <c r="E435">
        <v>47.98</v>
      </c>
      <c r="F435" t="str">
        <f t="shared" si="12"/>
        <v>2024-06</v>
      </c>
      <c r="G435">
        <f t="shared" si="13"/>
        <v>191.92</v>
      </c>
      <c r="H435" s="2">
        <v>45461.857630524908</v>
      </c>
      <c r="I435" t="s">
        <v>32</v>
      </c>
      <c r="J435" t="s">
        <v>913</v>
      </c>
    </row>
    <row r="436" spans="1:10" x14ac:dyDescent="0.3">
      <c r="A436" t="s">
        <v>914</v>
      </c>
      <c r="B436" t="s">
        <v>18</v>
      </c>
      <c r="C436" t="s">
        <v>29</v>
      </c>
      <c r="D436">
        <v>5</v>
      </c>
      <c r="E436">
        <v>26.53</v>
      </c>
      <c r="F436" t="str">
        <f t="shared" si="12"/>
        <v>2024-04</v>
      </c>
      <c r="G436">
        <f t="shared" si="13"/>
        <v>132.65</v>
      </c>
      <c r="H436" s="2">
        <v>45404.857630524908</v>
      </c>
      <c r="I436" t="s">
        <v>32</v>
      </c>
      <c r="J436" t="s">
        <v>915</v>
      </c>
    </row>
    <row r="437" spans="1:10" x14ac:dyDescent="0.3">
      <c r="A437" t="s">
        <v>916</v>
      </c>
      <c r="B437" t="s">
        <v>19</v>
      </c>
      <c r="C437" t="s">
        <v>28</v>
      </c>
      <c r="D437">
        <v>4</v>
      </c>
      <c r="E437">
        <v>38.94</v>
      </c>
      <c r="F437" t="str">
        <f t="shared" si="12"/>
        <v>2025-03</v>
      </c>
      <c r="G437">
        <f t="shared" si="13"/>
        <v>155.76</v>
      </c>
      <c r="H437" s="2">
        <v>45737.857630524908</v>
      </c>
      <c r="I437" t="s">
        <v>34</v>
      </c>
      <c r="J437" t="s">
        <v>917</v>
      </c>
    </row>
    <row r="438" spans="1:10" x14ac:dyDescent="0.3">
      <c r="A438" t="s">
        <v>918</v>
      </c>
      <c r="B438" t="s">
        <v>23</v>
      </c>
      <c r="C438" t="s">
        <v>28</v>
      </c>
      <c r="D438">
        <v>1</v>
      </c>
      <c r="E438">
        <v>34.56</v>
      </c>
      <c r="F438" t="str">
        <f t="shared" si="12"/>
        <v>2024-05</v>
      </c>
      <c r="G438">
        <f t="shared" si="13"/>
        <v>34.56</v>
      </c>
      <c r="H438" s="2">
        <v>45436.857630524908</v>
      </c>
      <c r="I438" t="s">
        <v>31</v>
      </c>
      <c r="J438" t="s">
        <v>919</v>
      </c>
    </row>
    <row r="439" spans="1:10" x14ac:dyDescent="0.3">
      <c r="A439" t="s">
        <v>920</v>
      </c>
      <c r="B439" t="s">
        <v>25</v>
      </c>
      <c r="C439" t="s">
        <v>30</v>
      </c>
      <c r="D439">
        <v>3</v>
      </c>
      <c r="E439">
        <v>16.97</v>
      </c>
      <c r="F439" t="str">
        <f t="shared" si="12"/>
        <v>2024-10</v>
      </c>
      <c r="G439">
        <f t="shared" si="13"/>
        <v>50.91</v>
      </c>
      <c r="H439" s="2">
        <v>45596.857630524908</v>
      </c>
      <c r="I439" t="s">
        <v>31</v>
      </c>
      <c r="J439" t="s">
        <v>921</v>
      </c>
    </row>
    <row r="440" spans="1:10" x14ac:dyDescent="0.3">
      <c r="A440" t="s">
        <v>922</v>
      </c>
      <c r="B440" t="s">
        <v>23</v>
      </c>
      <c r="C440" t="s">
        <v>28</v>
      </c>
      <c r="D440">
        <v>1</v>
      </c>
      <c r="E440">
        <v>10.76</v>
      </c>
      <c r="F440" t="str">
        <f t="shared" si="12"/>
        <v>2024-04</v>
      </c>
      <c r="G440">
        <f t="shared" si="13"/>
        <v>10.76</v>
      </c>
      <c r="H440" s="2">
        <v>45394.857630524908</v>
      </c>
      <c r="I440" t="s">
        <v>33</v>
      </c>
      <c r="J440" t="s">
        <v>923</v>
      </c>
    </row>
    <row r="441" spans="1:10" x14ac:dyDescent="0.3">
      <c r="A441" t="s">
        <v>924</v>
      </c>
      <c r="B441" t="s">
        <v>18</v>
      </c>
      <c r="C441" t="s">
        <v>29</v>
      </c>
      <c r="D441">
        <v>1</v>
      </c>
      <c r="E441">
        <v>33.67</v>
      </c>
      <c r="F441" t="str">
        <f t="shared" si="12"/>
        <v>2025-02</v>
      </c>
      <c r="G441">
        <f t="shared" si="13"/>
        <v>33.67</v>
      </c>
      <c r="H441" s="2">
        <v>45707.857630524908</v>
      </c>
      <c r="I441" t="s">
        <v>34</v>
      </c>
      <c r="J441" t="s">
        <v>925</v>
      </c>
    </row>
    <row r="442" spans="1:10" x14ac:dyDescent="0.3">
      <c r="A442" t="s">
        <v>926</v>
      </c>
      <c r="B442" t="s">
        <v>20</v>
      </c>
      <c r="C442" t="s">
        <v>30</v>
      </c>
      <c r="D442">
        <v>1</v>
      </c>
      <c r="E442">
        <v>34.57</v>
      </c>
      <c r="F442" t="str">
        <f t="shared" si="12"/>
        <v>2024-10</v>
      </c>
      <c r="G442">
        <f t="shared" si="13"/>
        <v>34.57</v>
      </c>
      <c r="H442" s="2">
        <v>45588.857630524908</v>
      </c>
      <c r="I442" t="s">
        <v>31</v>
      </c>
      <c r="J442" t="s">
        <v>927</v>
      </c>
    </row>
    <row r="443" spans="1:10" x14ac:dyDescent="0.3">
      <c r="A443" t="s">
        <v>928</v>
      </c>
      <c r="B443" t="s">
        <v>22</v>
      </c>
      <c r="C443" t="s">
        <v>30</v>
      </c>
      <c r="D443">
        <v>3</v>
      </c>
      <c r="E443">
        <v>11.81</v>
      </c>
      <c r="F443" t="str">
        <f t="shared" si="12"/>
        <v>2024-09</v>
      </c>
      <c r="G443">
        <f t="shared" si="13"/>
        <v>35.43</v>
      </c>
      <c r="H443" s="2">
        <v>45546.857630524908</v>
      </c>
      <c r="I443" t="s">
        <v>32</v>
      </c>
      <c r="J443" t="s">
        <v>929</v>
      </c>
    </row>
    <row r="444" spans="1:10" x14ac:dyDescent="0.3">
      <c r="A444" t="s">
        <v>930</v>
      </c>
      <c r="B444" t="s">
        <v>16</v>
      </c>
      <c r="C444" t="s">
        <v>29</v>
      </c>
      <c r="D444">
        <v>5</v>
      </c>
      <c r="E444">
        <v>59.89</v>
      </c>
      <c r="F444" t="str">
        <f t="shared" si="12"/>
        <v>2025-01</v>
      </c>
      <c r="G444">
        <f t="shared" si="13"/>
        <v>299.45</v>
      </c>
      <c r="H444" s="2">
        <v>45680.857630524908</v>
      </c>
      <c r="I444" t="s">
        <v>35</v>
      </c>
      <c r="J444" t="s">
        <v>931</v>
      </c>
    </row>
    <row r="445" spans="1:10" x14ac:dyDescent="0.3">
      <c r="A445" t="s">
        <v>932</v>
      </c>
      <c r="B445" t="s">
        <v>18</v>
      </c>
      <c r="C445" t="s">
        <v>29</v>
      </c>
      <c r="D445">
        <v>2</v>
      </c>
      <c r="E445">
        <v>28.98</v>
      </c>
      <c r="F445" t="str">
        <f t="shared" si="12"/>
        <v>2024-10</v>
      </c>
      <c r="G445">
        <f t="shared" si="13"/>
        <v>57.96</v>
      </c>
      <c r="H445" s="2">
        <v>45590.857630524908</v>
      </c>
      <c r="I445" t="s">
        <v>31</v>
      </c>
      <c r="J445" t="s">
        <v>933</v>
      </c>
    </row>
    <row r="446" spans="1:10" x14ac:dyDescent="0.3">
      <c r="A446" t="s">
        <v>934</v>
      </c>
      <c r="B446" t="s">
        <v>21</v>
      </c>
      <c r="C446" t="s">
        <v>30</v>
      </c>
      <c r="D446">
        <v>2</v>
      </c>
      <c r="E446">
        <v>50.27</v>
      </c>
      <c r="F446" t="str">
        <f t="shared" si="12"/>
        <v>2024-08</v>
      </c>
      <c r="G446">
        <f t="shared" si="13"/>
        <v>100.54</v>
      </c>
      <c r="H446" s="2">
        <v>45534.857630524908</v>
      </c>
      <c r="I446" t="s">
        <v>33</v>
      </c>
      <c r="J446" t="s">
        <v>935</v>
      </c>
    </row>
    <row r="447" spans="1:10" x14ac:dyDescent="0.3">
      <c r="A447" t="s">
        <v>936</v>
      </c>
      <c r="B447" t="s">
        <v>24</v>
      </c>
      <c r="C447" t="s">
        <v>28</v>
      </c>
      <c r="D447">
        <v>1</v>
      </c>
      <c r="E447">
        <v>32.74</v>
      </c>
      <c r="F447" t="str">
        <f t="shared" si="12"/>
        <v>2025-02</v>
      </c>
      <c r="G447">
        <f t="shared" si="13"/>
        <v>32.74</v>
      </c>
      <c r="H447" s="2">
        <v>45704.857630524908</v>
      </c>
      <c r="I447" t="s">
        <v>35</v>
      </c>
      <c r="J447" t="s">
        <v>937</v>
      </c>
    </row>
    <row r="448" spans="1:10" x14ac:dyDescent="0.3">
      <c r="A448" t="s">
        <v>938</v>
      </c>
      <c r="B448" t="s">
        <v>26</v>
      </c>
      <c r="C448" t="s">
        <v>28</v>
      </c>
      <c r="D448">
        <v>3</v>
      </c>
      <c r="E448">
        <v>33.11</v>
      </c>
      <c r="F448" t="str">
        <f t="shared" si="12"/>
        <v>2025-03</v>
      </c>
      <c r="G448">
        <f t="shared" si="13"/>
        <v>99.33</v>
      </c>
      <c r="H448" s="2">
        <v>45733.857630524908</v>
      </c>
      <c r="I448" t="s">
        <v>33</v>
      </c>
      <c r="J448" t="s">
        <v>939</v>
      </c>
    </row>
    <row r="449" spans="1:10" x14ac:dyDescent="0.3">
      <c r="A449" t="s">
        <v>940</v>
      </c>
      <c r="B449" t="s">
        <v>18</v>
      </c>
      <c r="C449" t="s">
        <v>29</v>
      </c>
      <c r="D449">
        <v>2</v>
      </c>
      <c r="E449">
        <v>19.79</v>
      </c>
      <c r="F449" t="str">
        <f t="shared" si="12"/>
        <v>2024-06</v>
      </c>
      <c r="G449">
        <f t="shared" si="13"/>
        <v>39.58</v>
      </c>
      <c r="H449" s="2">
        <v>45460.857630524908</v>
      </c>
      <c r="I449" t="s">
        <v>35</v>
      </c>
      <c r="J449" t="s">
        <v>941</v>
      </c>
    </row>
    <row r="450" spans="1:10" x14ac:dyDescent="0.3">
      <c r="A450" t="s">
        <v>942</v>
      </c>
      <c r="B450" t="s">
        <v>21</v>
      </c>
      <c r="C450" t="s">
        <v>30</v>
      </c>
      <c r="D450">
        <v>1</v>
      </c>
      <c r="E450">
        <v>32.25</v>
      </c>
      <c r="F450" t="str">
        <f t="shared" si="12"/>
        <v>2024-07</v>
      </c>
      <c r="G450">
        <f t="shared" si="13"/>
        <v>32.25</v>
      </c>
      <c r="H450" s="2">
        <v>45478.857630524908</v>
      </c>
      <c r="I450" t="s">
        <v>34</v>
      </c>
      <c r="J450" t="s">
        <v>943</v>
      </c>
    </row>
    <row r="451" spans="1:10" x14ac:dyDescent="0.3">
      <c r="A451" t="s">
        <v>944</v>
      </c>
      <c r="B451" t="s">
        <v>27</v>
      </c>
      <c r="C451" t="s">
        <v>28</v>
      </c>
      <c r="D451">
        <v>4</v>
      </c>
      <c r="E451">
        <v>38.97</v>
      </c>
      <c r="F451" t="str">
        <f t="shared" ref="F451:F514" si="14">TEXT(H451, "yyyy-mm")</f>
        <v>2025-01</v>
      </c>
      <c r="G451">
        <f t="shared" ref="G451:G514" si="15">D451*E451</f>
        <v>155.88</v>
      </c>
      <c r="H451" s="2">
        <v>45678.857630524908</v>
      </c>
      <c r="I451" t="s">
        <v>33</v>
      </c>
      <c r="J451" t="s">
        <v>945</v>
      </c>
    </row>
    <row r="452" spans="1:10" x14ac:dyDescent="0.3">
      <c r="A452" t="s">
        <v>946</v>
      </c>
      <c r="B452" t="s">
        <v>20</v>
      </c>
      <c r="C452" t="s">
        <v>30</v>
      </c>
      <c r="D452">
        <v>5</v>
      </c>
      <c r="E452">
        <v>21.18</v>
      </c>
      <c r="F452" t="str">
        <f t="shared" si="14"/>
        <v>2025-02</v>
      </c>
      <c r="G452">
        <f t="shared" si="15"/>
        <v>105.9</v>
      </c>
      <c r="H452" s="2">
        <v>45707.857630524908</v>
      </c>
      <c r="I452" t="s">
        <v>33</v>
      </c>
      <c r="J452" t="s">
        <v>947</v>
      </c>
    </row>
    <row r="453" spans="1:10" x14ac:dyDescent="0.3">
      <c r="A453" t="s">
        <v>948</v>
      </c>
      <c r="B453" t="s">
        <v>16</v>
      </c>
      <c r="C453" t="s">
        <v>29</v>
      </c>
      <c r="D453">
        <v>5</v>
      </c>
      <c r="E453">
        <v>27.97</v>
      </c>
      <c r="F453" t="str">
        <f t="shared" si="14"/>
        <v>2024-10</v>
      </c>
      <c r="G453">
        <f t="shared" si="15"/>
        <v>139.85</v>
      </c>
      <c r="H453" s="2">
        <v>45573.857630524908</v>
      </c>
      <c r="I453" t="s">
        <v>32</v>
      </c>
      <c r="J453" t="s">
        <v>949</v>
      </c>
    </row>
    <row r="454" spans="1:10" x14ac:dyDescent="0.3">
      <c r="A454" t="s">
        <v>950</v>
      </c>
      <c r="B454" t="s">
        <v>20</v>
      </c>
      <c r="C454" t="s">
        <v>30</v>
      </c>
      <c r="D454">
        <v>5</v>
      </c>
      <c r="E454">
        <v>34.61</v>
      </c>
      <c r="F454" t="str">
        <f t="shared" si="14"/>
        <v>2024-07</v>
      </c>
      <c r="G454">
        <f t="shared" si="15"/>
        <v>173.05</v>
      </c>
      <c r="H454" s="2">
        <v>45489.857630524908</v>
      </c>
      <c r="I454" t="s">
        <v>34</v>
      </c>
      <c r="J454" t="s">
        <v>951</v>
      </c>
    </row>
    <row r="455" spans="1:10" x14ac:dyDescent="0.3">
      <c r="A455" t="s">
        <v>952</v>
      </c>
      <c r="B455" t="s">
        <v>19</v>
      </c>
      <c r="C455" t="s">
        <v>28</v>
      </c>
      <c r="D455">
        <v>1</v>
      </c>
      <c r="E455">
        <v>24.96</v>
      </c>
      <c r="F455" t="str">
        <f t="shared" si="14"/>
        <v>2025-02</v>
      </c>
      <c r="G455">
        <f t="shared" si="15"/>
        <v>24.96</v>
      </c>
      <c r="H455" s="2">
        <v>45710.857630524908</v>
      </c>
      <c r="I455" t="s">
        <v>32</v>
      </c>
      <c r="J455" t="s">
        <v>953</v>
      </c>
    </row>
    <row r="456" spans="1:10" x14ac:dyDescent="0.3">
      <c r="A456" t="s">
        <v>954</v>
      </c>
      <c r="B456" t="s">
        <v>18</v>
      </c>
      <c r="C456" t="s">
        <v>29</v>
      </c>
      <c r="D456">
        <v>1</v>
      </c>
      <c r="E456">
        <v>19.39</v>
      </c>
      <c r="F456" t="str">
        <f t="shared" si="14"/>
        <v>2024-11</v>
      </c>
      <c r="G456">
        <f t="shared" si="15"/>
        <v>19.39</v>
      </c>
      <c r="H456" s="2">
        <v>45617.857630524908</v>
      </c>
      <c r="I456" t="s">
        <v>35</v>
      </c>
      <c r="J456" t="s">
        <v>955</v>
      </c>
    </row>
    <row r="457" spans="1:10" x14ac:dyDescent="0.3">
      <c r="A457" t="s">
        <v>956</v>
      </c>
      <c r="B457" t="s">
        <v>23</v>
      </c>
      <c r="C457" t="s">
        <v>28</v>
      </c>
      <c r="D457">
        <v>4</v>
      </c>
      <c r="E457">
        <v>30.8</v>
      </c>
      <c r="F457" t="str">
        <f t="shared" si="14"/>
        <v>2024-12</v>
      </c>
      <c r="G457">
        <f t="shared" si="15"/>
        <v>123.2</v>
      </c>
      <c r="H457" s="2">
        <v>45641.857630524908</v>
      </c>
      <c r="I457" t="s">
        <v>35</v>
      </c>
      <c r="J457" t="s">
        <v>957</v>
      </c>
    </row>
    <row r="458" spans="1:10" x14ac:dyDescent="0.3">
      <c r="A458" t="s">
        <v>958</v>
      </c>
      <c r="B458" t="s">
        <v>20</v>
      </c>
      <c r="C458" t="s">
        <v>30</v>
      </c>
      <c r="D458">
        <v>4</v>
      </c>
      <c r="E458">
        <v>45.84</v>
      </c>
      <c r="F458" t="str">
        <f t="shared" si="14"/>
        <v>2024-07</v>
      </c>
      <c r="G458">
        <f t="shared" si="15"/>
        <v>183.36</v>
      </c>
      <c r="H458" s="2">
        <v>45501.857630524908</v>
      </c>
      <c r="I458" t="s">
        <v>32</v>
      </c>
      <c r="J458" t="s">
        <v>959</v>
      </c>
    </row>
    <row r="459" spans="1:10" x14ac:dyDescent="0.3">
      <c r="A459" t="s">
        <v>960</v>
      </c>
      <c r="B459" t="s">
        <v>26</v>
      </c>
      <c r="C459" t="s">
        <v>28</v>
      </c>
      <c r="D459">
        <v>5</v>
      </c>
      <c r="E459">
        <v>41.05</v>
      </c>
      <c r="F459" t="str">
        <f t="shared" si="14"/>
        <v>2024-06</v>
      </c>
      <c r="G459">
        <f t="shared" si="15"/>
        <v>205.25</v>
      </c>
      <c r="H459" s="2">
        <v>45466.857630524908</v>
      </c>
      <c r="I459" t="s">
        <v>33</v>
      </c>
      <c r="J459" t="s">
        <v>961</v>
      </c>
    </row>
    <row r="460" spans="1:10" x14ac:dyDescent="0.3">
      <c r="A460" t="s">
        <v>962</v>
      </c>
      <c r="B460" t="s">
        <v>17</v>
      </c>
      <c r="C460" t="s">
        <v>29</v>
      </c>
      <c r="D460">
        <v>4</v>
      </c>
      <c r="E460">
        <v>59.43</v>
      </c>
      <c r="F460" t="str">
        <f t="shared" si="14"/>
        <v>2024-12</v>
      </c>
      <c r="G460">
        <f t="shared" si="15"/>
        <v>237.72</v>
      </c>
      <c r="H460" s="2">
        <v>45656.857630524908</v>
      </c>
      <c r="I460" t="s">
        <v>31</v>
      </c>
      <c r="J460" t="s">
        <v>963</v>
      </c>
    </row>
    <row r="461" spans="1:10" x14ac:dyDescent="0.3">
      <c r="A461" t="s">
        <v>964</v>
      </c>
      <c r="B461" t="s">
        <v>17</v>
      </c>
      <c r="C461" t="s">
        <v>29</v>
      </c>
      <c r="D461">
        <v>3</v>
      </c>
      <c r="E461">
        <v>27.46</v>
      </c>
      <c r="F461" t="str">
        <f t="shared" si="14"/>
        <v>2024-05</v>
      </c>
      <c r="G461">
        <f t="shared" si="15"/>
        <v>82.38</v>
      </c>
      <c r="H461" s="2">
        <v>45418.857630524908</v>
      </c>
      <c r="I461" t="s">
        <v>35</v>
      </c>
      <c r="J461" t="s">
        <v>965</v>
      </c>
    </row>
    <row r="462" spans="1:10" x14ac:dyDescent="0.3">
      <c r="A462" t="s">
        <v>966</v>
      </c>
      <c r="B462" t="s">
        <v>26</v>
      </c>
      <c r="C462" t="s">
        <v>28</v>
      </c>
      <c r="D462">
        <v>3</v>
      </c>
      <c r="E462">
        <v>10.51</v>
      </c>
      <c r="F462" t="str">
        <f t="shared" si="14"/>
        <v>2024-06</v>
      </c>
      <c r="G462">
        <f t="shared" si="15"/>
        <v>31.53</v>
      </c>
      <c r="H462" s="2">
        <v>45455.857630524908</v>
      </c>
      <c r="I462" t="s">
        <v>33</v>
      </c>
      <c r="J462" t="s">
        <v>967</v>
      </c>
    </row>
    <row r="463" spans="1:10" x14ac:dyDescent="0.3">
      <c r="A463" t="s">
        <v>968</v>
      </c>
      <c r="B463" t="s">
        <v>25</v>
      </c>
      <c r="C463" t="s">
        <v>30</v>
      </c>
      <c r="D463">
        <v>2</v>
      </c>
      <c r="E463">
        <v>25.83</v>
      </c>
      <c r="F463" t="str">
        <f t="shared" si="14"/>
        <v>2024-11</v>
      </c>
      <c r="G463">
        <f t="shared" si="15"/>
        <v>51.66</v>
      </c>
      <c r="H463" s="2">
        <v>45613.857630524908</v>
      </c>
      <c r="I463" t="s">
        <v>32</v>
      </c>
      <c r="J463" t="s">
        <v>969</v>
      </c>
    </row>
    <row r="464" spans="1:10" x14ac:dyDescent="0.3">
      <c r="A464" t="s">
        <v>970</v>
      </c>
      <c r="B464" t="s">
        <v>21</v>
      </c>
      <c r="C464" t="s">
        <v>30</v>
      </c>
      <c r="D464">
        <v>5</v>
      </c>
      <c r="E464">
        <v>31.58</v>
      </c>
      <c r="F464" t="str">
        <f t="shared" si="14"/>
        <v>2024-12</v>
      </c>
      <c r="G464">
        <f t="shared" si="15"/>
        <v>157.89999999999998</v>
      </c>
      <c r="H464" s="2">
        <v>45651.857630524908</v>
      </c>
      <c r="I464" t="s">
        <v>32</v>
      </c>
      <c r="J464" t="s">
        <v>971</v>
      </c>
    </row>
    <row r="465" spans="1:10" x14ac:dyDescent="0.3">
      <c r="A465" t="s">
        <v>972</v>
      </c>
      <c r="B465" t="s">
        <v>19</v>
      </c>
      <c r="C465" t="s">
        <v>28</v>
      </c>
      <c r="D465">
        <v>3</v>
      </c>
      <c r="E465">
        <v>47.02</v>
      </c>
      <c r="F465" t="str">
        <f t="shared" si="14"/>
        <v>2024-06</v>
      </c>
      <c r="G465">
        <f t="shared" si="15"/>
        <v>141.06</v>
      </c>
      <c r="H465" s="2">
        <v>45449.857630524908</v>
      </c>
      <c r="I465" t="s">
        <v>34</v>
      </c>
      <c r="J465" t="s">
        <v>973</v>
      </c>
    </row>
    <row r="466" spans="1:10" x14ac:dyDescent="0.3">
      <c r="A466" t="s">
        <v>974</v>
      </c>
      <c r="B466" t="s">
        <v>18</v>
      </c>
      <c r="C466" t="s">
        <v>29</v>
      </c>
      <c r="D466">
        <v>2</v>
      </c>
      <c r="E466">
        <v>31.22</v>
      </c>
      <c r="F466" t="str">
        <f t="shared" si="14"/>
        <v>2025-03</v>
      </c>
      <c r="G466">
        <f t="shared" si="15"/>
        <v>62.44</v>
      </c>
      <c r="H466" s="2">
        <v>45743.857630524908</v>
      </c>
      <c r="I466" t="s">
        <v>32</v>
      </c>
      <c r="J466" t="s">
        <v>975</v>
      </c>
    </row>
    <row r="467" spans="1:10" x14ac:dyDescent="0.3">
      <c r="A467" t="s">
        <v>976</v>
      </c>
      <c r="B467" t="s">
        <v>23</v>
      </c>
      <c r="C467" t="s">
        <v>28</v>
      </c>
      <c r="D467">
        <v>4</v>
      </c>
      <c r="E467">
        <v>40.71</v>
      </c>
      <c r="F467" t="str">
        <f t="shared" si="14"/>
        <v>2024-12</v>
      </c>
      <c r="G467">
        <f t="shared" si="15"/>
        <v>162.84</v>
      </c>
      <c r="H467" s="2">
        <v>45647.857630524908</v>
      </c>
      <c r="I467" t="s">
        <v>35</v>
      </c>
      <c r="J467" t="s">
        <v>977</v>
      </c>
    </row>
    <row r="468" spans="1:10" x14ac:dyDescent="0.3">
      <c r="A468" t="s">
        <v>978</v>
      </c>
      <c r="B468" t="s">
        <v>24</v>
      </c>
      <c r="C468" t="s">
        <v>28</v>
      </c>
      <c r="D468">
        <v>2</v>
      </c>
      <c r="E468">
        <v>21.34</v>
      </c>
      <c r="F468" t="str">
        <f t="shared" si="14"/>
        <v>2024-09</v>
      </c>
      <c r="G468">
        <f t="shared" si="15"/>
        <v>42.68</v>
      </c>
      <c r="H468" s="2">
        <v>45536.857630524908</v>
      </c>
      <c r="I468" t="s">
        <v>34</v>
      </c>
      <c r="J468" t="s">
        <v>979</v>
      </c>
    </row>
    <row r="469" spans="1:10" x14ac:dyDescent="0.3">
      <c r="A469" t="s">
        <v>980</v>
      </c>
      <c r="B469" t="s">
        <v>25</v>
      </c>
      <c r="C469" t="s">
        <v>30</v>
      </c>
      <c r="D469">
        <v>2</v>
      </c>
      <c r="E469">
        <v>56.45</v>
      </c>
      <c r="F469" t="str">
        <f t="shared" si="14"/>
        <v>2024-06</v>
      </c>
      <c r="G469">
        <f t="shared" si="15"/>
        <v>112.9</v>
      </c>
      <c r="H469" s="2">
        <v>45450.857630524908</v>
      </c>
      <c r="I469" t="s">
        <v>33</v>
      </c>
      <c r="J469" t="s">
        <v>981</v>
      </c>
    </row>
    <row r="470" spans="1:10" x14ac:dyDescent="0.3">
      <c r="A470" t="s">
        <v>982</v>
      </c>
      <c r="B470" t="s">
        <v>24</v>
      </c>
      <c r="C470" t="s">
        <v>28</v>
      </c>
      <c r="D470">
        <v>5</v>
      </c>
      <c r="E470">
        <v>57.83</v>
      </c>
      <c r="F470" t="str">
        <f t="shared" si="14"/>
        <v>2025-02</v>
      </c>
      <c r="G470">
        <f t="shared" si="15"/>
        <v>289.14999999999998</v>
      </c>
      <c r="H470" s="2">
        <v>45709.857630524908</v>
      </c>
      <c r="I470" t="s">
        <v>34</v>
      </c>
      <c r="J470" t="s">
        <v>983</v>
      </c>
    </row>
    <row r="471" spans="1:10" x14ac:dyDescent="0.3">
      <c r="A471" t="s">
        <v>984</v>
      </c>
      <c r="B471" t="s">
        <v>19</v>
      </c>
      <c r="C471" t="s">
        <v>28</v>
      </c>
      <c r="D471">
        <v>4</v>
      </c>
      <c r="E471">
        <v>43.62</v>
      </c>
      <c r="F471" t="str">
        <f t="shared" si="14"/>
        <v>2024-05</v>
      </c>
      <c r="G471">
        <f t="shared" si="15"/>
        <v>174.48</v>
      </c>
      <c r="H471" s="2">
        <v>45431.857630524908</v>
      </c>
      <c r="I471" t="s">
        <v>35</v>
      </c>
      <c r="J471" t="s">
        <v>985</v>
      </c>
    </row>
    <row r="472" spans="1:10" x14ac:dyDescent="0.3">
      <c r="A472" t="s">
        <v>986</v>
      </c>
      <c r="B472" t="s">
        <v>19</v>
      </c>
      <c r="C472" t="s">
        <v>28</v>
      </c>
      <c r="D472">
        <v>5</v>
      </c>
      <c r="E472">
        <v>26.01</v>
      </c>
      <c r="F472" t="str">
        <f t="shared" si="14"/>
        <v>2025-01</v>
      </c>
      <c r="G472">
        <f t="shared" si="15"/>
        <v>130.05000000000001</v>
      </c>
      <c r="H472" s="2">
        <v>45683.857630524908</v>
      </c>
      <c r="I472" t="s">
        <v>34</v>
      </c>
      <c r="J472" t="s">
        <v>987</v>
      </c>
    </row>
    <row r="473" spans="1:10" x14ac:dyDescent="0.3">
      <c r="A473" t="s">
        <v>988</v>
      </c>
      <c r="B473" t="s">
        <v>18</v>
      </c>
      <c r="C473" t="s">
        <v>29</v>
      </c>
      <c r="D473">
        <v>2</v>
      </c>
      <c r="E473">
        <v>13.14</v>
      </c>
      <c r="F473" t="str">
        <f t="shared" si="14"/>
        <v>2024-10</v>
      </c>
      <c r="G473">
        <f t="shared" si="15"/>
        <v>26.28</v>
      </c>
      <c r="H473" s="2">
        <v>45591.857630524908</v>
      </c>
      <c r="I473" t="s">
        <v>35</v>
      </c>
      <c r="J473" t="s">
        <v>989</v>
      </c>
    </row>
    <row r="474" spans="1:10" x14ac:dyDescent="0.3">
      <c r="A474" t="s">
        <v>990</v>
      </c>
      <c r="B474" t="s">
        <v>17</v>
      </c>
      <c r="C474" t="s">
        <v>29</v>
      </c>
      <c r="D474">
        <v>2</v>
      </c>
      <c r="E474">
        <v>52.01</v>
      </c>
      <c r="F474" t="str">
        <f t="shared" si="14"/>
        <v>2024-10</v>
      </c>
      <c r="G474">
        <f t="shared" si="15"/>
        <v>104.02</v>
      </c>
      <c r="H474" s="2">
        <v>45571.857630524908</v>
      </c>
      <c r="I474" t="s">
        <v>33</v>
      </c>
      <c r="J474" t="s">
        <v>991</v>
      </c>
    </row>
    <row r="475" spans="1:10" x14ac:dyDescent="0.3">
      <c r="A475" t="s">
        <v>992</v>
      </c>
      <c r="B475" t="s">
        <v>27</v>
      </c>
      <c r="C475" t="s">
        <v>28</v>
      </c>
      <c r="D475">
        <v>3</v>
      </c>
      <c r="E475">
        <v>37.06</v>
      </c>
      <c r="F475" t="str">
        <f t="shared" si="14"/>
        <v>2024-04</v>
      </c>
      <c r="G475">
        <f t="shared" si="15"/>
        <v>111.18</v>
      </c>
      <c r="H475" s="2">
        <v>45410.857630524908</v>
      </c>
      <c r="I475" t="s">
        <v>31</v>
      </c>
      <c r="J475" t="s">
        <v>993</v>
      </c>
    </row>
    <row r="476" spans="1:10" x14ac:dyDescent="0.3">
      <c r="A476" t="s">
        <v>994</v>
      </c>
      <c r="B476" t="s">
        <v>19</v>
      </c>
      <c r="C476" t="s">
        <v>28</v>
      </c>
      <c r="D476">
        <v>4</v>
      </c>
      <c r="E476">
        <v>47.01</v>
      </c>
      <c r="F476" t="str">
        <f t="shared" si="14"/>
        <v>2024-10</v>
      </c>
      <c r="G476">
        <f t="shared" si="15"/>
        <v>188.04</v>
      </c>
      <c r="H476" s="2">
        <v>45588.857630524908</v>
      </c>
      <c r="I476" t="s">
        <v>35</v>
      </c>
      <c r="J476" t="s">
        <v>995</v>
      </c>
    </row>
    <row r="477" spans="1:10" x14ac:dyDescent="0.3">
      <c r="A477" t="s">
        <v>996</v>
      </c>
      <c r="B477" t="s">
        <v>16</v>
      </c>
      <c r="C477" t="s">
        <v>29</v>
      </c>
      <c r="D477">
        <v>5</v>
      </c>
      <c r="E477">
        <v>23.12</v>
      </c>
      <c r="F477" t="str">
        <f t="shared" si="14"/>
        <v>2024-09</v>
      </c>
      <c r="G477">
        <f t="shared" si="15"/>
        <v>115.60000000000001</v>
      </c>
      <c r="H477" s="2">
        <v>45562.857630524908</v>
      </c>
      <c r="I477" t="s">
        <v>34</v>
      </c>
      <c r="J477" t="s">
        <v>997</v>
      </c>
    </row>
    <row r="478" spans="1:10" x14ac:dyDescent="0.3">
      <c r="A478" t="s">
        <v>998</v>
      </c>
      <c r="B478" t="s">
        <v>17</v>
      </c>
      <c r="C478" t="s">
        <v>29</v>
      </c>
      <c r="D478">
        <v>4</v>
      </c>
      <c r="E478">
        <v>11.68</v>
      </c>
      <c r="F478" t="str">
        <f t="shared" si="14"/>
        <v>2024-11</v>
      </c>
      <c r="G478">
        <f t="shared" si="15"/>
        <v>46.72</v>
      </c>
      <c r="H478" s="2">
        <v>45599.857630524908</v>
      </c>
      <c r="I478" t="s">
        <v>34</v>
      </c>
      <c r="J478" t="s">
        <v>999</v>
      </c>
    </row>
    <row r="479" spans="1:10" x14ac:dyDescent="0.3">
      <c r="A479" t="s">
        <v>1000</v>
      </c>
      <c r="B479" t="s">
        <v>22</v>
      </c>
      <c r="C479" t="s">
        <v>30</v>
      </c>
      <c r="D479">
        <v>3</v>
      </c>
      <c r="E479">
        <v>47.51</v>
      </c>
      <c r="F479" t="str">
        <f t="shared" si="14"/>
        <v>2024-06</v>
      </c>
      <c r="G479">
        <f t="shared" si="15"/>
        <v>142.53</v>
      </c>
      <c r="H479" s="2">
        <v>45469.857630524908</v>
      </c>
      <c r="I479" t="s">
        <v>32</v>
      </c>
      <c r="J479" t="s">
        <v>1001</v>
      </c>
    </row>
    <row r="480" spans="1:10" x14ac:dyDescent="0.3">
      <c r="A480" t="s">
        <v>1002</v>
      </c>
      <c r="B480" t="s">
        <v>23</v>
      </c>
      <c r="C480" t="s">
        <v>28</v>
      </c>
      <c r="D480">
        <v>5</v>
      </c>
      <c r="E480">
        <v>11.68</v>
      </c>
      <c r="F480" t="str">
        <f t="shared" si="14"/>
        <v>2024-07</v>
      </c>
      <c r="G480">
        <f t="shared" si="15"/>
        <v>58.4</v>
      </c>
      <c r="H480" s="2">
        <v>45491.857630524908</v>
      </c>
      <c r="I480" t="s">
        <v>31</v>
      </c>
      <c r="J480" t="s">
        <v>1003</v>
      </c>
    </row>
    <row r="481" spans="1:10" x14ac:dyDescent="0.3">
      <c r="A481" t="s">
        <v>1004</v>
      </c>
      <c r="B481" t="s">
        <v>25</v>
      </c>
      <c r="C481" t="s">
        <v>30</v>
      </c>
      <c r="D481">
        <v>3</v>
      </c>
      <c r="E481">
        <v>12.18</v>
      </c>
      <c r="F481" t="str">
        <f t="shared" si="14"/>
        <v>2024-08</v>
      </c>
      <c r="G481">
        <f t="shared" si="15"/>
        <v>36.54</v>
      </c>
      <c r="H481" s="2">
        <v>45506.857630524908</v>
      </c>
      <c r="I481" t="s">
        <v>31</v>
      </c>
      <c r="J481" t="s">
        <v>1005</v>
      </c>
    </row>
    <row r="482" spans="1:10" x14ac:dyDescent="0.3">
      <c r="A482" t="s">
        <v>1006</v>
      </c>
      <c r="B482" t="s">
        <v>25</v>
      </c>
      <c r="C482" t="s">
        <v>30</v>
      </c>
      <c r="D482">
        <v>2</v>
      </c>
      <c r="E482">
        <v>56.98</v>
      </c>
      <c r="F482" t="str">
        <f t="shared" si="14"/>
        <v>2024-11</v>
      </c>
      <c r="G482">
        <f t="shared" si="15"/>
        <v>113.96</v>
      </c>
      <c r="H482" s="2">
        <v>45614.857630524908</v>
      </c>
      <c r="I482" t="s">
        <v>35</v>
      </c>
      <c r="J482" t="s">
        <v>1007</v>
      </c>
    </row>
    <row r="483" spans="1:10" x14ac:dyDescent="0.3">
      <c r="A483" t="s">
        <v>1008</v>
      </c>
      <c r="B483" t="s">
        <v>17</v>
      </c>
      <c r="C483" t="s">
        <v>29</v>
      </c>
      <c r="D483">
        <v>4</v>
      </c>
      <c r="E483">
        <v>33.01</v>
      </c>
      <c r="F483" t="str">
        <f t="shared" si="14"/>
        <v>2025-01</v>
      </c>
      <c r="G483">
        <f t="shared" si="15"/>
        <v>132.04</v>
      </c>
      <c r="H483" s="2">
        <v>45681.857630524908</v>
      </c>
      <c r="I483" t="s">
        <v>32</v>
      </c>
      <c r="J483" t="s">
        <v>1009</v>
      </c>
    </row>
    <row r="484" spans="1:10" x14ac:dyDescent="0.3">
      <c r="A484" t="s">
        <v>1010</v>
      </c>
      <c r="B484" t="s">
        <v>23</v>
      </c>
      <c r="C484" t="s">
        <v>28</v>
      </c>
      <c r="D484">
        <v>1</v>
      </c>
      <c r="E484">
        <v>29.63</v>
      </c>
      <c r="F484" t="str">
        <f t="shared" si="14"/>
        <v>2024-06</v>
      </c>
      <c r="G484">
        <f t="shared" si="15"/>
        <v>29.63</v>
      </c>
      <c r="H484" s="2">
        <v>45470.857630524908</v>
      </c>
      <c r="I484" t="s">
        <v>33</v>
      </c>
      <c r="J484" t="s">
        <v>1011</v>
      </c>
    </row>
    <row r="485" spans="1:10" x14ac:dyDescent="0.3">
      <c r="A485" t="s">
        <v>1012</v>
      </c>
      <c r="B485" t="s">
        <v>26</v>
      </c>
      <c r="C485" t="s">
        <v>28</v>
      </c>
      <c r="D485">
        <v>3</v>
      </c>
      <c r="E485">
        <v>31.93</v>
      </c>
      <c r="F485" t="str">
        <f t="shared" si="14"/>
        <v>2024-08</v>
      </c>
      <c r="G485">
        <f t="shared" si="15"/>
        <v>95.789999999999992</v>
      </c>
      <c r="H485" s="2">
        <v>45517.857630524908</v>
      </c>
      <c r="I485" t="s">
        <v>32</v>
      </c>
      <c r="J485" t="s">
        <v>1013</v>
      </c>
    </row>
    <row r="486" spans="1:10" x14ac:dyDescent="0.3">
      <c r="A486" t="s">
        <v>1014</v>
      </c>
      <c r="B486" t="s">
        <v>26</v>
      </c>
      <c r="C486" t="s">
        <v>28</v>
      </c>
      <c r="D486">
        <v>1</v>
      </c>
      <c r="E486">
        <v>36.07</v>
      </c>
      <c r="F486" t="str">
        <f t="shared" si="14"/>
        <v>2024-12</v>
      </c>
      <c r="G486">
        <f t="shared" si="15"/>
        <v>36.07</v>
      </c>
      <c r="H486" s="2">
        <v>45641.857630524908</v>
      </c>
      <c r="I486" t="s">
        <v>34</v>
      </c>
      <c r="J486" t="s">
        <v>1015</v>
      </c>
    </row>
    <row r="487" spans="1:10" x14ac:dyDescent="0.3">
      <c r="A487" t="s">
        <v>1016</v>
      </c>
      <c r="B487" t="s">
        <v>16</v>
      </c>
      <c r="C487" t="s">
        <v>29</v>
      </c>
      <c r="D487">
        <v>2</v>
      </c>
      <c r="E487">
        <v>23.61</v>
      </c>
      <c r="F487" t="str">
        <f t="shared" si="14"/>
        <v>2024-08</v>
      </c>
      <c r="G487">
        <f t="shared" si="15"/>
        <v>47.22</v>
      </c>
      <c r="H487" s="2">
        <v>45533.857630524908</v>
      </c>
      <c r="I487" t="s">
        <v>35</v>
      </c>
      <c r="J487" t="s">
        <v>1017</v>
      </c>
    </row>
    <row r="488" spans="1:10" x14ac:dyDescent="0.3">
      <c r="A488" t="s">
        <v>1018</v>
      </c>
      <c r="B488" t="s">
        <v>19</v>
      </c>
      <c r="C488" t="s">
        <v>28</v>
      </c>
      <c r="D488">
        <v>2</v>
      </c>
      <c r="E488">
        <v>59.03</v>
      </c>
      <c r="F488" t="str">
        <f t="shared" si="14"/>
        <v>2025-01</v>
      </c>
      <c r="G488">
        <f t="shared" si="15"/>
        <v>118.06</v>
      </c>
      <c r="H488" s="2">
        <v>45678.857630524908</v>
      </c>
      <c r="I488" t="s">
        <v>32</v>
      </c>
      <c r="J488" t="s">
        <v>1019</v>
      </c>
    </row>
    <row r="489" spans="1:10" x14ac:dyDescent="0.3">
      <c r="A489" t="s">
        <v>1020</v>
      </c>
      <c r="B489" t="s">
        <v>17</v>
      </c>
      <c r="C489" t="s">
        <v>29</v>
      </c>
      <c r="D489">
        <v>3</v>
      </c>
      <c r="E489">
        <v>12.29</v>
      </c>
      <c r="F489" t="str">
        <f t="shared" si="14"/>
        <v>2024-07</v>
      </c>
      <c r="G489">
        <f t="shared" si="15"/>
        <v>36.869999999999997</v>
      </c>
      <c r="H489" s="2">
        <v>45475.857630524908</v>
      </c>
      <c r="I489" t="s">
        <v>33</v>
      </c>
      <c r="J489" t="s">
        <v>1021</v>
      </c>
    </row>
    <row r="490" spans="1:10" x14ac:dyDescent="0.3">
      <c r="A490" t="s">
        <v>1022</v>
      </c>
      <c r="B490" t="s">
        <v>18</v>
      </c>
      <c r="C490" t="s">
        <v>29</v>
      </c>
      <c r="D490">
        <v>3</v>
      </c>
      <c r="E490">
        <v>59.38</v>
      </c>
      <c r="F490" t="str">
        <f t="shared" si="14"/>
        <v>2024-04</v>
      </c>
      <c r="G490">
        <f t="shared" si="15"/>
        <v>178.14000000000001</v>
      </c>
      <c r="H490" s="2">
        <v>45389.857630524908</v>
      </c>
      <c r="I490" t="s">
        <v>34</v>
      </c>
      <c r="J490" t="s">
        <v>1023</v>
      </c>
    </row>
    <row r="491" spans="1:10" x14ac:dyDescent="0.3">
      <c r="A491" t="s">
        <v>1024</v>
      </c>
      <c r="B491" t="s">
        <v>22</v>
      </c>
      <c r="C491" t="s">
        <v>30</v>
      </c>
      <c r="D491">
        <v>4</v>
      </c>
      <c r="E491">
        <v>55.94</v>
      </c>
      <c r="F491" t="str">
        <f t="shared" si="14"/>
        <v>2024-09</v>
      </c>
      <c r="G491">
        <f t="shared" si="15"/>
        <v>223.76</v>
      </c>
      <c r="H491" s="2">
        <v>45542.857630524908</v>
      </c>
      <c r="I491" t="s">
        <v>32</v>
      </c>
      <c r="J491" t="s">
        <v>1025</v>
      </c>
    </row>
    <row r="492" spans="1:10" x14ac:dyDescent="0.3">
      <c r="A492" t="s">
        <v>1026</v>
      </c>
      <c r="B492" t="s">
        <v>21</v>
      </c>
      <c r="C492" t="s">
        <v>30</v>
      </c>
      <c r="D492">
        <v>5</v>
      </c>
      <c r="E492">
        <v>36.79</v>
      </c>
      <c r="F492" t="str">
        <f t="shared" si="14"/>
        <v>2025-02</v>
      </c>
      <c r="G492">
        <f t="shared" si="15"/>
        <v>183.95</v>
      </c>
      <c r="H492" s="2">
        <v>45715.857630524908</v>
      </c>
      <c r="I492" t="s">
        <v>35</v>
      </c>
      <c r="J492" t="s">
        <v>1027</v>
      </c>
    </row>
    <row r="493" spans="1:10" x14ac:dyDescent="0.3">
      <c r="A493" t="s">
        <v>1028</v>
      </c>
      <c r="B493" t="s">
        <v>18</v>
      </c>
      <c r="C493" t="s">
        <v>29</v>
      </c>
      <c r="D493">
        <v>2</v>
      </c>
      <c r="E493">
        <v>57.33</v>
      </c>
      <c r="F493" t="str">
        <f t="shared" si="14"/>
        <v>2024-05</v>
      </c>
      <c r="G493">
        <f t="shared" si="15"/>
        <v>114.66</v>
      </c>
      <c r="H493" s="2">
        <v>45424.857630524908</v>
      </c>
      <c r="I493" t="s">
        <v>34</v>
      </c>
      <c r="J493" t="s">
        <v>1029</v>
      </c>
    </row>
    <row r="494" spans="1:10" x14ac:dyDescent="0.3">
      <c r="A494" t="s">
        <v>1030</v>
      </c>
      <c r="B494" t="s">
        <v>17</v>
      </c>
      <c r="C494" t="s">
        <v>29</v>
      </c>
      <c r="D494">
        <v>3</v>
      </c>
      <c r="E494">
        <v>43.55</v>
      </c>
      <c r="F494" t="str">
        <f t="shared" si="14"/>
        <v>2024-09</v>
      </c>
      <c r="G494">
        <f t="shared" si="15"/>
        <v>130.64999999999998</v>
      </c>
      <c r="H494" s="2">
        <v>45562.857630524908</v>
      </c>
      <c r="I494" t="s">
        <v>33</v>
      </c>
      <c r="J494" t="s">
        <v>1031</v>
      </c>
    </row>
    <row r="495" spans="1:10" x14ac:dyDescent="0.3">
      <c r="A495" t="s">
        <v>1032</v>
      </c>
      <c r="B495" t="s">
        <v>19</v>
      </c>
      <c r="C495" t="s">
        <v>28</v>
      </c>
      <c r="D495">
        <v>4</v>
      </c>
      <c r="E495">
        <v>50.59</v>
      </c>
      <c r="F495" t="str">
        <f t="shared" si="14"/>
        <v>2024-09</v>
      </c>
      <c r="G495">
        <f t="shared" si="15"/>
        <v>202.36</v>
      </c>
      <c r="H495" s="2">
        <v>45542.857630524908</v>
      </c>
      <c r="I495" t="s">
        <v>33</v>
      </c>
      <c r="J495" t="s">
        <v>1033</v>
      </c>
    </row>
    <row r="496" spans="1:10" x14ac:dyDescent="0.3">
      <c r="A496" t="s">
        <v>1034</v>
      </c>
      <c r="B496" t="s">
        <v>26</v>
      </c>
      <c r="C496" t="s">
        <v>28</v>
      </c>
      <c r="D496">
        <v>4</v>
      </c>
      <c r="E496">
        <v>23.24</v>
      </c>
      <c r="F496" t="str">
        <f t="shared" si="14"/>
        <v>2024-11</v>
      </c>
      <c r="G496">
        <f t="shared" si="15"/>
        <v>92.96</v>
      </c>
      <c r="H496" s="2">
        <v>45607.857630524908</v>
      </c>
      <c r="I496" t="s">
        <v>34</v>
      </c>
      <c r="J496" t="s">
        <v>1035</v>
      </c>
    </row>
    <row r="497" spans="1:10" x14ac:dyDescent="0.3">
      <c r="A497" t="s">
        <v>1036</v>
      </c>
      <c r="B497" t="s">
        <v>17</v>
      </c>
      <c r="C497" t="s">
        <v>29</v>
      </c>
      <c r="D497">
        <v>4</v>
      </c>
      <c r="E497">
        <v>44.73</v>
      </c>
      <c r="F497" t="str">
        <f t="shared" si="14"/>
        <v>2024-05</v>
      </c>
      <c r="G497">
        <f t="shared" si="15"/>
        <v>178.92</v>
      </c>
      <c r="H497" s="2">
        <v>45441.857630524908</v>
      </c>
      <c r="I497" t="s">
        <v>32</v>
      </c>
      <c r="J497" t="s">
        <v>1037</v>
      </c>
    </row>
    <row r="498" spans="1:10" x14ac:dyDescent="0.3">
      <c r="A498" t="s">
        <v>1038</v>
      </c>
      <c r="B498" t="s">
        <v>24</v>
      </c>
      <c r="C498" t="s">
        <v>28</v>
      </c>
      <c r="D498">
        <v>1</v>
      </c>
      <c r="E498">
        <v>30.13</v>
      </c>
      <c r="F498" t="str">
        <f t="shared" si="14"/>
        <v>2025-01</v>
      </c>
      <c r="G498">
        <f t="shared" si="15"/>
        <v>30.13</v>
      </c>
      <c r="H498" s="2">
        <v>45677.857630524908</v>
      </c>
      <c r="I498" t="s">
        <v>32</v>
      </c>
      <c r="J498" t="s">
        <v>1039</v>
      </c>
    </row>
    <row r="499" spans="1:10" x14ac:dyDescent="0.3">
      <c r="A499" t="s">
        <v>1040</v>
      </c>
      <c r="B499" t="s">
        <v>23</v>
      </c>
      <c r="C499" t="s">
        <v>28</v>
      </c>
      <c r="D499">
        <v>5</v>
      </c>
      <c r="E499">
        <v>11.59</v>
      </c>
      <c r="F499" t="str">
        <f t="shared" si="14"/>
        <v>2025-01</v>
      </c>
      <c r="G499">
        <f t="shared" si="15"/>
        <v>57.95</v>
      </c>
      <c r="H499" s="2">
        <v>45660.857630524908</v>
      </c>
      <c r="I499" t="s">
        <v>34</v>
      </c>
      <c r="J499" t="s">
        <v>1041</v>
      </c>
    </row>
    <row r="500" spans="1:10" x14ac:dyDescent="0.3">
      <c r="A500" t="s">
        <v>1042</v>
      </c>
      <c r="B500" t="s">
        <v>21</v>
      </c>
      <c r="C500" t="s">
        <v>30</v>
      </c>
      <c r="D500">
        <v>1</v>
      </c>
      <c r="E500">
        <v>29.11</v>
      </c>
      <c r="F500" t="str">
        <f t="shared" si="14"/>
        <v>2024-08</v>
      </c>
      <c r="G500">
        <f t="shared" si="15"/>
        <v>29.11</v>
      </c>
      <c r="H500" s="2">
        <v>45534.857630524908</v>
      </c>
      <c r="I500" t="s">
        <v>32</v>
      </c>
      <c r="J500" t="s">
        <v>1043</v>
      </c>
    </row>
    <row r="501" spans="1:10" x14ac:dyDescent="0.3">
      <c r="A501" t="s">
        <v>1044</v>
      </c>
      <c r="B501" t="s">
        <v>18</v>
      </c>
      <c r="C501" t="s">
        <v>29</v>
      </c>
      <c r="D501">
        <v>2</v>
      </c>
      <c r="E501">
        <v>44.69</v>
      </c>
      <c r="F501" t="str">
        <f t="shared" si="14"/>
        <v>2024-11</v>
      </c>
      <c r="G501">
        <f t="shared" si="15"/>
        <v>89.38</v>
      </c>
      <c r="H501" s="2">
        <v>45622.857630524908</v>
      </c>
      <c r="I501" t="s">
        <v>31</v>
      </c>
      <c r="J501" t="s">
        <v>1045</v>
      </c>
    </row>
    <row r="502" spans="1:10" x14ac:dyDescent="0.3">
      <c r="A502" t="s">
        <v>1046</v>
      </c>
      <c r="B502" t="s">
        <v>17</v>
      </c>
      <c r="C502" t="s">
        <v>29</v>
      </c>
      <c r="D502">
        <v>2</v>
      </c>
      <c r="E502">
        <v>43.85</v>
      </c>
      <c r="F502" t="str">
        <f t="shared" si="14"/>
        <v>2024-07</v>
      </c>
      <c r="G502">
        <f t="shared" si="15"/>
        <v>87.7</v>
      </c>
      <c r="H502" s="2">
        <v>45501.857630524908</v>
      </c>
      <c r="I502" t="s">
        <v>31</v>
      </c>
      <c r="J502" t="s">
        <v>1047</v>
      </c>
    </row>
    <row r="503" spans="1:10" x14ac:dyDescent="0.3">
      <c r="A503" t="s">
        <v>1048</v>
      </c>
      <c r="B503" t="s">
        <v>20</v>
      </c>
      <c r="C503" t="s">
        <v>30</v>
      </c>
      <c r="D503">
        <v>5</v>
      </c>
      <c r="E503">
        <v>18.57</v>
      </c>
      <c r="F503" t="str">
        <f t="shared" si="14"/>
        <v>2024-10</v>
      </c>
      <c r="G503">
        <f t="shared" si="15"/>
        <v>92.85</v>
      </c>
      <c r="H503" s="2">
        <v>45571.857630524908</v>
      </c>
      <c r="I503" t="s">
        <v>32</v>
      </c>
      <c r="J503" t="s">
        <v>1049</v>
      </c>
    </row>
    <row r="504" spans="1:10" x14ac:dyDescent="0.3">
      <c r="A504" t="s">
        <v>1050</v>
      </c>
      <c r="B504" t="s">
        <v>26</v>
      </c>
      <c r="C504" t="s">
        <v>28</v>
      </c>
      <c r="D504">
        <v>5</v>
      </c>
      <c r="E504">
        <v>33.299999999999997</v>
      </c>
      <c r="F504" t="str">
        <f t="shared" si="14"/>
        <v>2025-01</v>
      </c>
      <c r="G504">
        <f t="shared" si="15"/>
        <v>166.5</v>
      </c>
      <c r="H504" s="2">
        <v>45670.857630524908</v>
      </c>
      <c r="I504" t="s">
        <v>34</v>
      </c>
      <c r="J504" t="s">
        <v>1051</v>
      </c>
    </row>
    <row r="505" spans="1:10" x14ac:dyDescent="0.3">
      <c r="A505" t="s">
        <v>1052</v>
      </c>
      <c r="B505" t="s">
        <v>21</v>
      </c>
      <c r="C505" t="s">
        <v>30</v>
      </c>
      <c r="D505">
        <v>2</v>
      </c>
      <c r="E505">
        <v>41.14</v>
      </c>
      <c r="F505" t="str">
        <f t="shared" si="14"/>
        <v>2024-05</v>
      </c>
      <c r="G505">
        <f t="shared" si="15"/>
        <v>82.28</v>
      </c>
      <c r="H505" s="2">
        <v>45422.857630524908</v>
      </c>
      <c r="I505" t="s">
        <v>33</v>
      </c>
      <c r="J505" t="s">
        <v>1053</v>
      </c>
    </row>
    <row r="506" spans="1:10" x14ac:dyDescent="0.3">
      <c r="A506" t="s">
        <v>1054</v>
      </c>
      <c r="B506" t="s">
        <v>22</v>
      </c>
      <c r="C506" t="s">
        <v>30</v>
      </c>
      <c r="D506">
        <v>2</v>
      </c>
      <c r="E506">
        <v>54.01</v>
      </c>
      <c r="F506" t="str">
        <f t="shared" si="14"/>
        <v>2024-04</v>
      </c>
      <c r="G506">
        <f t="shared" si="15"/>
        <v>108.02</v>
      </c>
      <c r="H506" s="2">
        <v>45403.857630524908</v>
      </c>
      <c r="I506" t="s">
        <v>33</v>
      </c>
      <c r="J506" t="s">
        <v>1055</v>
      </c>
    </row>
    <row r="507" spans="1:10" x14ac:dyDescent="0.3">
      <c r="A507" t="s">
        <v>1056</v>
      </c>
      <c r="B507" t="s">
        <v>17</v>
      </c>
      <c r="C507" t="s">
        <v>29</v>
      </c>
      <c r="D507">
        <v>4</v>
      </c>
      <c r="E507">
        <v>30.9</v>
      </c>
      <c r="F507" t="str">
        <f t="shared" si="14"/>
        <v>2024-05</v>
      </c>
      <c r="G507">
        <f t="shared" si="15"/>
        <v>123.6</v>
      </c>
      <c r="H507" s="2">
        <v>45413.857630524908</v>
      </c>
      <c r="I507" t="s">
        <v>31</v>
      </c>
      <c r="J507" t="s">
        <v>1057</v>
      </c>
    </row>
    <row r="508" spans="1:10" x14ac:dyDescent="0.3">
      <c r="A508" t="s">
        <v>1058</v>
      </c>
      <c r="B508" t="s">
        <v>24</v>
      </c>
      <c r="C508" t="s">
        <v>28</v>
      </c>
      <c r="D508">
        <v>4</v>
      </c>
      <c r="E508">
        <v>28.97</v>
      </c>
      <c r="F508" t="str">
        <f t="shared" si="14"/>
        <v>2024-10</v>
      </c>
      <c r="G508">
        <f t="shared" si="15"/>
        <v>115.88</v>
      </c>
      <c r="H508" s="2">
        <v>45585.857630524908</v>
      </c>
      <c r="I508" t="s">
        <v>35</v>
      </c>
      <c r="J508" t="s">
        <v>1059</v>
      </c>
    </row>
    <row r="509" spans="1:10" x14ac:dyDescent="0.3">
      <c r="A509" t="s">
        <v>1060</v>
      </c>
      <c r="B509" t="s">
        <v>18</v>
      </c>
      <c r="C509" t="s">
        <v>29</v>
      </c>
      <c r="D509">
        <v>2</v>
      </c>
      <c r="E509">
        <v>53.91</v>
      </c>
      <c r="F509" t="str">
        <f t="shared" si="14"/>
        <v>2025-03</v>
      </c>
      <c r="G509">
        <f t="shared" si="15"/>
        <v>107.82</v>
      </c>
      <c r="H509" s="2">
        <v>45723.857630524908</v>
      </c>
      <c r="I509" t="s">
        <v>34</v>
      </c>
      <c r="J509" t="s">
        <v>1061</v>
      </c>
    </row>
    <row r="510" spans="1:10" x14ac:dyDescent="0.3">
      <c r="A510" t="s">
        <v>1062</v>
      </c>
      <c r="B510" t="s">
        <v>23</v>
      </c>
      <c r="C510" t="s">
        <v>28</v>
      </c>
      <c r="D510">
        <v>4</v>
      </c>
      <c r="E510">
        <v>51.44</v>
      </c>
      <c r="F510" t="str">
        <f t="shared" si="14"/>
        <v>2024-05</v>
      </c>
      <c r="G510">
        <f t="shared" si="15"/>
        <v>205.76</v>
      </c>
      <c r="H510" s="2">
        <v>45435.857630524908</v>
      </c>
      <c r="I510" t="s">
        <v>34</v>
      </c>
      <c r="J510" t="s">
        <v>1063</v>
      </c>
    </row>
    <row r="511" spans="1:10" x14ac:dyDescent="0.3">
      <c r="A511" t="s">
        <v>1064</v>
      </c>
      <c r="B511" t="s">
        <v>22</v>
      </c>
      <c r="C511" t="s">
        <v>30</v>
      </c>
      <c r="D511">
        <v>3</v>
      </c>
      <c r="E511">
        <v>44.7</v>
      </c>
      <c r="F511" t="str">
        <f t="shared" si="14"/>
        <v>2025-01</v>
      </c>
      <c r="G511">
        <f t="shared" si="15"/>
        <v>134.10000000000002</v>
      </c>
      <c r="H511" s="2">
        <v>45659.857630524908</v>
      </c>
      <c r="I511" t="s">
        <v>31</v>
      </c>
      <c r="J511" t="s">
        <v>1065</v>
      </c>
    </row>
    <row r="512" spans="1:10" x14ac:dyDescent="0.3">
      <c r="A512" t="s">
        <v>1066</v>
      </c>
      <c r="B512" t="s">
        <v>24</v>
      </c>
      <c r="C512" t="s">
        <v>28</v>
      </c>
      <c r="D512">
        <v>1</v>
      </c>
      <c r="E512">
        <v>20.81</v>
      </c>
      <c r="F512" t="str">
        <f t="shared" si="14"/>
        <v>2024-07</v>
      </c>
      <c r="G512">
        <f t="shared" si="15"/>
        <v>20.81</v>
      </c>
      <c r="H512" s="2">
        <v>45487.857630524908</v>
      </c>
      <c r="I512" t="s">
        <v>31</v>
      </c>
      <c r="J512" t="s">
        <v>1067</v>
      </c>
    </row>
    <row r="513" spans="1:10" x14ac:dyDescent="0.3">
      <c r="A513" t="s">
        <v>1068</v>
      </c>
      <c r="B513" t="s">
        <v>26</v>
      </c>
      <c r="C513" t="s">
        <v>28</v>
      </c>
      <c r="D513">
        <v>3</v>
      </c>
      <c r="E513">
        <v>45.94</v>
      </c>
      <c r="F513" t="str">
        <f t="shared" si="14"/>
        <v>2025-01</v>
      </c>
      <c r="G513">
        <f t="shared" si="15"/>
        <v>137.82</v>
      </c>
      <c r="H513" s="2">
        <v>45676.857630524908</v>
      </c>
      <c r="I513" t="s">
        <v>31</v>
      </c>
      <c r="J513" t="s">
        <v>1069</v>
      </c>
    </row>
    <row r="514" spans="1:10" x14ac:dyDescent="0.3">
      <c r="A514" t="s">
        <v>1070</v>
      </c>
      <c r="B514" t="s">
        <v>26</v>
      </c>
      <c r="C514" t="s">
        <v>28</v>
      </c>
      <c r="D514">
        <v>5</v>
      </c>
      <c r="E514">
        <v>15.23</v>
      </c>
      <c r="F514" t="str">
        <f t="shared" si="14"/>
        <v>2024-08</v>
      </c>
      <c r="G514">
        <f t="shared" si="15"/>
        <v>76.150000000000006</v>
      </c>
      <c r="H514" s="2">
        <v>45528.857630524908</v>
      </c>
      <c r="I514" t="s">
        <v>32</v>
      </c>
      <c r="J514" t="s">
        <v>1071</v>
      </c>
    </row>
    <row r="515" spans="1:10" x14ac:dyDescent="0.3">
      <c r="A515" t="s">
        <v>1072</v>
      </c>
      <c r="B515" t="s">
        <v>16</v>
      </c>
      <c r="C515" t="s">
        <v>29</v>
      </c>
      <c r="D515">
        <v>3</v>
      </c>
      <c r="E515">
        <v>13.4</v>
      </c>
      <c r="F515" t="str">
        <f t="shared" ref="F515:F578" si="16">TEXT(H515, "yyyy-mm")</f>
        <v>2025-03</v>
      </c>
      <c r="G515">
        <f t="shared" ref="G515:G578" si="17">D515*E515</f>
        <v>40.200000000000003</v>
      </c>
      <c r="H515" s="2">
        <v>45721.857630524908</v>
      </c>
      <c r="I515" t="s">
        <v>34</v>
      </c>
      <c r="J515" t="s">
        <v>1073</v>
      </c>
    </row>
    <row r="516" spans="1:10" x14ac:dyDescent="0.3">
      <c r="A516" t="s">
        <v>1074</v>
      </c>
      <c r="B516" t="s">
        <v>17</v>
      </c>
      <c r="C516" t="s">
        <v>29</v>
      </c>
      <c r="D516">
        <v>2</v>
      </c>
      <c r="E516">
        <v>47.84</v>
      </c>
      <c r="F516" t="str">
        <f t="shared" si="16"/>
        <v>2025-02</v>
      </c>
      <c r="G516">
        <f t="shared" si="17"/>
        <v>95.68</v>
      </c>
      <c r="H516" s="2">
        <v>45711.857630524908</v>
      </c>
      <c r="I516" t="s">
        <v>32</v>
      </c>
      <c r="J516" t="s">
        <v>1075</v>
      </c>
    </row>
    <row r="517" spans="1:10" x14ac:dyDescent="0.3">
      <c r="A517" t="s">
        <v>1076</v>
      </c>
      <c r="B517" t="s">
        <v>21</v>
      </c>
      <c r="C517" t="s">
        <v>30</v>
      </c>
      <c r="D517">
        <v>4</v>
      </c>
      <c r="E517">
        <v>12.63</v>
      </c>
      <c r="F517" t="str">
        <f t="shared" si="16"/>
        <v>2024-11</v>
      </c>
      <c r="G517">
        <f t="shared" si="17"/>
        <v>50.52</v>
      </c>
      <c r="H517" s="2">
        <v>45616.857630524908</v>
      </c>
      <c r="I517" t="s">
        <v>32</v>
      </c>
      <c r="J517" t="s">
        <v>1077</v>
      </c>
    </row>
    <row r="518" spans="1:10" x14ac:dyDescent="0.3">
      <c r="A518" t="s">
        <v>1078</v>
      </c>
      <c r="B518" t="s">
        <v>22</v>
      </c>
      <c r="C518" t="s">
        <v>30</v>
      </c>
      <c r="D518">
        <v>4</v>
      </c>
      <c r="E518">
        <v>40.9</v>
      </c>
      <c r="F518" t="str">
        <f t="shared" si="16"/>
        <v>2024-07</v>
      </c>
      <c r="G518">
        <f t="shared" si="17"/>
        <v>163.6</v>
      </c>
      <c r="H518" s="2">
        <v>45481.857630524908</v>
      </c>
      <c r="I518" t="s">
        <v>33</v>
      </c>
      <c r="J518" t="s">
        <v>1079</v>
      </c>
    </row>
    <row r="519" spans="1:10" x14ac:dyDescent="0.3">
      <c r="A519" t="s">
        <v>1080</v>
      </c>
      <c r="B519" t="s">
        <v>26</v>
      </c>
      <c r="C519" t="s">
        <v>28</v>
      </c>
      <c r="D519">
        <v>3</v>
      </c>
      <c r="E519">
        <v>11.34</v>
      </c>
      <c r="F519" t="str">
        <f t="shared" si="16"/>
        <v>2024-11</v>
      </c>
      <c r="G519">
        <f t="shared" si="17"/>
        <v>34.019999999999996</v>
      </c>
      <c r="H519" s="2">
        <v>45602.857630524908</v>
      </c>
      <c r="I519" t="s">
        <v>31</v>
      </c>
      <c r="J519" t="s">
        <v>1081</v>
      </c>
    </row>
    <row r="520" spans="1:10" x14ac:dyDescent="0.3">
      <c r="A520" t="s">
        <v>1082</v>
      </c>
      <c r="B520" t="s">
        <v>18</v>
      </c>
      <c r="C520" t="s">
        <v>29</v>
      </c>
      <c r="D520">
        <v>5</v>
      </c>
      <c r="E520">
        <v>32.19</v>
      </c>
      <c r="F520" t="str">
        <f t="shared" si="16"/>
        <v>2024-08</v>
      </c>
      <c r="G520">
        <f t="shared" si="17"/>
        <v>160.94999999999999</v>
      </c>
      <c r="H520" s="2">
        <v>45522.857630524908</v>
      </c>
      <c r="I520" t="s">
        <v>35</v>
      </c>
      <c r="J520" t="s">
        <v>1083</v>
      </c>
    </row>
    <row r="521" spans="1:10" x14ac:dyDescent="0.3">
      <c r="A521" t="s">
        <v>1084</v>
      </c>
      <c r="B521" t="s">
        <v>23</v>
      </c>
      <c r="C521" t="s">
        <v>28</v>
      </c>
      <c r="D521">
        <v>3</v>
      </c>
      <c r="E521">
        <v>59.48</v>
      </c>
      <c r="F521" t="str">
        <f t="shared" si="16"/>
        <v>2025-02</v>
      </c>
      <c r="G521">
        <f t="shared" si="17"/>
        <v>178.44</v>
      </c>
      <c r="H521" s="2">
        <v>45703.857630524908</v>
      </c>
      <c r="I521" t="s">
        <v>31</v>
      </c>
      <c r="J521" t="s">
        <v>1085</v>
      </c>
    </row>
    <row r="522" spans="1:10" x14ac:dyDescent="0.3">
      <c r="A522" t="s">
        <v>1086</v>
      </c>
      <c r="B522" t="s">
        <v>23</v>
      </c>
      <c r="C522" t="s">
        <v>28</v>
      </c>
      <c r="D522">
        <v>5</v>
      </c>
      <c r="E522">
        <v>50.95</v>
      </c>
      <c r="F522" t="str">
        <f t="shared" si="16"/>
        <v>2024-12</v>
      </c>
      <c r="G522">
        <f t="shared" si="17"/>
        <v>254.75</v>
      </c>
      <c r="H522" s="2">
        <v>45643.857630524908</v>
      </c>
      <c r="I522" t="s">
        <v>34</v>
      </c>
      <c r="J522" t="s">
        <v>1087</v>
      </c>
    </row>
    <row r="523" spans="1:10" x14ac:dyDescent="0.3">
      <c r="A523" t="s">
        <v>1088</v>
      </c>
      <c r="B523" t="s">
        <v>22</v>
      </c>
      <c r="C523" t="s">
        <v>30</v>
      </c>
      <c r="D523">
        <v>5</v>
      </c>
      <c r="E523">
        <v>25.59</v>
      </c>
      <c r="F523" t="str">
        <f t="shared" si="16"/>
        <v>2025-01</v>
      </c>
      <c r="G523">
        <f t="shared" si="17"/>
        <v>127.95</v>
      </c>
      <c r="H523" s="2">
        <v>45660.857630524908</v>
      </c>
      <c r="I523" t="s">
        <v>32</v>
      </c>
      <c r="J523" t="s">
        <v>1089</v>
      </c>
    </row>
    <row r="524" spans="1:10" x14ac:dyDescent="0.3">
      <c r="A524" t="s">
        <v>1090</v>
      </c>
      <c r="B524" t="s">
        <v>26</v>
      </c>
      <c r="C524" t="s">
        <v>28</v>
      </c>
      <c r="D524">
        <v>3</v>
      </c>
      <c r="E524">
        <v>38.17</v>
      </c>
      <c r="F524" t="str">
        <f t="shared" si="16"/>
        <v>2024-09</v>
      </c>
      <c r="G524">
        <f t="shared" si="17"/>
        <v>114.51</v>
      </c>
      <c r="H524" s="2">
        <v>45559.857630524908</v>
      </c>
      <c r="I524" t="s">
        <v>35</v>
      </c>
      <c r="J524" t="s">
        <v>1091</v>
      </c>
    </row>
    <row r="525" spans="1:10" x14ac:dyDescent="0.3">
      <c r="A525" t="s">
        <v>1092</v>
      </c>
      <c r="B525" t="s">
        <v>23</v>
      </c>
      <c r="C525" t="s">
        <v>28</v>
      </c>
      <c r="D525">
        <v>3</v>
      </c>
      <c r="E525">
        <v>15.94</v>
      </c>
      <c r="F525" t="str">
        <f t="shared" si="16"/>
        <v>2024-04</v>
      </c>
      <c r="G525">
        <f t="shared" si="17"/>
        <v>47.82</v>
      </c>
      <c r="H525" s="2">
        <v>45402.857630524908</v>
      </c>
      <c r="I525" t="s">
        <v>31</v>
      </c>
      <c r="J525" t="s">
        <v>1093</v>
      </c>
    </row>
    <row r="526" spans="1:10" x14ac:dyDescent="0.3">
      <c r="A526" t="s">
        <v>1094</v>
      </c>
      <c r="B526" t="s">
        <v>26</v>
      </c>
      <c r="C526" t="s">
        <v>28</v>
      </c>
      <c r="D526">
        <v>3</v>
      </c>
      <c r="E526">
        <v>12.66</v>
      </c>
      <c r="F526" t="str">
        <f t="shared" si="16"/>
        <v>2024-07</v>
      </c>
      <c r="G526">
        <f t="shared" si="17"/>
        <v>37.980000000000004</v>
      </c>
      <c r="H526" s="2">
        <v>45480.857630524908</v>
      </c>
      <c r="I526" t="s">
        <v>35</v>
      </c>
      <c r="J526" t="s">
        <v>1095</v>
      </c>
    </row>
    <row r="527" spans="1:10" x14ac:dyDescent="0.3">
      <c r="A527" t="s">
        <v>1096</v>
      </c>
      <c r="B527" t="s">
        <v>25</v>
      </c>
      <c r="C527" t="s">
        <v>30</v>
      </c>
      <c r="D527">
        <v>1</v>
      </c>
      <c r="E527">
        <v>33.07</v>
      </c>
      <c r="F527" t="str">
        <f t="shared" si="16"/>
        <v>2024-08</v>
      </c>
      <c r="G527">
        <f t="shared" si="17"/>
        <v>33.07</v>
      </c>
      <c r="H527" s="2">
        <v>45510.857630524908</v>
      </c>
      <c r="I527" t="s">
        <v>34</v>
      </c>
      <c r="J527" t="s">
        <v>1097</v>
      </c>
    </row>
    <row r="528" spans="1:10" x14ac:dyDescent="0.3">
      <c r="A528" t="s">
        <v>1098</v>
      </c>
      <c r="B528" t="s">
        <v>16</v>
      </c>
      <c r="C528" t="s">
        <v>29</v>
      </c>
      <c r="D528">
        <v>2</v>
      </c>
      <c r="E528">
        <v>39.97</v>
      </c>
      <c r="F528" t="str">
        <f t="shared" si="16"/>
        <v>2025-03</v>
      </c>
      <c r="G528">
        <f t="shared" si="17"/>
        <v>79.94</v>
      </c>
      <c r="H528" s="2">
        <v>45732.857630524908</v>
      </c>
      <c r="I528" t="s">
        <v>33</v>
      </c>
      <c r="J528" t="s">
        <v>1099</v>
      </c>
    </row>
    <row r="529" spans="1:10" x14ac:dyDescent="0.3">
      <c r="A529" t="s">
        <v>1100</v>
      </c>
      <c r="B529" t="s">
        <v>25</v>
      </c>
      <c r="C529" t="s">
        <v>30</v>
      </c>
      <c r="D529">
        <v>1</v>
      </c>
      <c r="E529">
        <v>35.880000000000003</v>
      </c>
      <c r="F529" t="str">
        <f t="shared" si="16"/>
        <v>2024-12</v>
      </c>
      <c r="G529">
        <f t="shared" si="17"/>
        <v>35.880000000000003</v>
      </c>
      <c r="H529" s="2">
        <v>45630.857630524908</v>
      </c>
      <c r="I529" t="s">
        <v>33</v>
      </c>
      <c r="J529" t="s">
        <v>1101</v>
      </c>
    </row>
    <row r="530" spans="1:10" x14ac:dyDescent="0.3">
      <c r="A530" t="s">
        <v>1102</v>
      </c>
      <c r="B530" t="s">
        <v>17</v>
      </c>
      <c r="C530" t="s">
        <v>29</v>
      </c>
      <c r="D530">
        <v>5</v>
      </c>
      <c r="E530">
        <v>40.97</v>
      </c>
      <c r="F530" t="str">
        <f t="shared" si="16"/>
        <v>2024-08</v>
      </c>
      <c r="G530">
        <f t="shared" si="17"/>
        <v>204.85</v>
      </c>
      <c r="H530" s="2">
        <v>45506.857630524908</v>
      </c>
      <c r="I530" t="s">
        <v>34</v>
      </c>
      <c r="J530" t="s">
        <v>1103</v>
      </c>
    </row>
    <row r="531" spans="1:10" x14ac:dyDescent="0.3">
      <c r="A531" t="s">
        <v>1104</v>
      </c>
      <c r="B531" t="s">
        <v>21</v>
      </c>
      <c r="C531" t="s">
        <v>30</v>
      </c>
      <c r="D531">
        <v>1</v>
      </c>
      <c r="E531">
        <v>34.61</v>
      </c>
      <c r="F531" t="str">
        <f t="shared" si="16"/>
        <v>2024-10</v>
      </c>
      <c r="G531">
        <f t="shared" si="17"/>
        <v>34.61</v>
      </c>
      <c r="H531" s="2">
        <v>45569.857630524908</v>
      </c>
      <c r="I531" t="s">
        <v>35</v>
      </c>
      <c r="J531" t="s">
        <v>1105</v>
      </c>
    </row>
    <row r="532" spans="1:10" x14ac:dyDescent="0.3">
      <c r="A532" t="s">
        <v>1106</v>
      </c>
      <c r="B532" t="s">
        <v>17</v>
      </c>
      <c r="C532" t="s">
        <v>29</v>
      </c>
      <c r="D532">
        <v>2</v>
      </c>
      <c r="E532">
        <v>15.42</v>
      </c>
      <c r="F532" t="str">
        <f t="shared" si="16"/>
        <v>2024-06</v>
      </c>
      <c r="G532">
        <f t="shared" si="17"/>
        <v>30.84</v>
      </c>
      <c r="H532" s="2">
        <v>45455.857630524908</v>
      </c>
      <c r="I532" t="s">
        <v>31</v>
      </c>
      <c r="J532" t="s">
        <v>1107</v>
      </c>
    </row>
    <row r="533" spans="1:10" x14ac:dyDescent="0.3">
      <c r="A533" t="s">
        <v>1108</v>
      </c>
      <c r="B533" t="s">
        <v>17</v>
      </c>
      <c r="C533" t="s">
        <v>29</v>
      </c>
      <c r="D533">
        <v>1</v>
      </c>
      <c r="E533">
        <v>54.08</v>
      </c>
      <c r="F533" t="str">
        <f t="shared" si="16"/>
        <v>2025-02</v>
      </c>
      <c r="G533">
        <f t="shared" si="17"/>
        <v>54.08</v>
      </c>
      <c r="H533" s="2">
        <v>45697.857630524908</v>
      </c>
      <c r="I533" t="s">
        <v>31</v>
      </c>
      <c r="J533" t="s">
        <v>1109</v>
      </c>
    </row>
    <row r="534" spans="1:10" x14ac:dyDescent="0.3">
      <c r="A534" t="s">
        <v>1110</v>
      </c>
      <c r="B534" t="s">
        <v>16</v>
      </c>
      <c r="C534" t="s">
        <v>29</v>
      </c>
      <c r="D534">
        <v>4</v>
      </c>
      <c r="E534">
        <v>59.02</v>
      </c>
      <c r="F534" t="str">
        <f t="shared" si="16"/>
        <v>2024-12</v>
      </c>
      <c r="G534">
        <f t="shared" si="17"/>
        <v>236.08</v>
      </c>
      <c r="H534" s="2">
        <v>45635.857630524908</v>
      </c>
      <c r="I534" t="s">
        <v>31</v>
      </c>
      <c r="J534" t="s">
        <v>1111</v>
      </c>
    </row>
    <row r="535" spans="1:10" x14ac:dyDescent="0.3">
      <c r="A535" t="s">
        <v>1112</v>
      </c>
      <c r="B535" t="s">
        <v>23</v>
      </c>
      <c r="C535" t="s">
        <v>28</v>
      </c>
      <c r="D535">
        <v>3</v>
      </c>
      <c r="E535">
        <v>50.69</v>
      </c>
      <c r="F535" t="str">
        <f t="shared" si="16"/>
        <v>2024-10</v>
      </c>
      <c r="G535">
        <f t="shared" si="17"/>
        <v>152.07</v>
      </c>
      <c r="H535" s="2">
        <v>45580.857630524908</v>
      </c>
      <c r="I535" t="s">
        <v>33</v>
      </c>
      <c r="J535" t="s">
        <v>1113</v>
      </c>
    </row>
    <row r="536" spans="1:10" x14ac:dyDescent="0.3">
      <c r="A536" t="s">
        <v>1114</v>
      </c>
      <c r="B536" t="s">
        <v>17</v>
      </c>
      <c r="C536" t="s">
        <v>29</v>
      </c>
      <c r="D536">
        <v>4</v>
      </c>
      <c r="E536">
        <v>32.83</v>
      </c>
      <c r="F536" t="str">
        <f t="shared" si="16"/>
        <v>2024-05</v>
      </c>
      <c r="G536">
        <f t="shared" si="17"/>
        <v>131.32</v>
      </c>
      <c r="H536" s="2">
        <v>45439.857630524908</v>
      </c>
      <c r="I536" t="s">
        <v>31</v>
      </c>
      <c r="J536" t="s">
        <v>1115</v>
      </c>
    </row>
    <row r="537" spans="1:10" x14ac:dyDescent="0.3">
      <c r="A537" t="s">
        <v>1116</v>
      </c>
      <c r="B537" t="s">
        <v>21</v>
      </c>
      <c r="C537" t="s">
        <v>30</v>
      </c>
      <c r="D537">
        <v>2</v>
      </c>
      <c r="E537">
        <v>48.89</v>
      </c>
      <c r="F537" t="str">
        <f t="shared" si="16"/>
        <v>2025-02</v>
      </c>
      <c r="G537">
        <f t="shared" si="17"/>
        <v>97.78</v>
      </c>
      <c r="H537" s="2">
        <v>45689.857630524908</v>
      </c>
      <c r="I537" t="s">
        <v>35</v>
      </c>
      <c r="J537" t="s">
        <v>1117</v>
      </c>
    </row>
    <row r="538" spans="1:10" x14ac:dyDescent="0.3">
      <c r="A538" t="s">
        <v>1118</v>
      </c>
      <c r="B538" t="s">
        <v>26</v>
      </c>
      <c r="C538" t="s">
        <v>28</v>
      </c>
      <c r="D538">
        <v>1</v>
      </c>
      <c r="E538">
        <v>12.99</v>
      </c>
      <c r="F538" t="str">
        <f t="shared" si="16"/>
        <v>2024-09</v>
      </c>
      <c r="G538">
        <f t="shared" si="17"/>
        <v>12.99</v>
      </c>
      <c r="H538" s="2">
        <v>45555.857630524908</v>
      </c>
      <c r="I538" t="s">
        <v>33</v>
      </c>
      <c r="J538" t="s">
        <v>1119</v>
      </c>
    </row>
    <row r="539" spans="1:10" x14ac:dyDescent="0.3">
      <c r="A539" t="s">
        <v>1120</v>
      </c>
      <c r="B539" t="s">
        <v>20</v>
      </c>
      <c r="C539" t="s">
        <v>30</v>
      </c>
      <c r="D539">
        <v>1</v>
      </c>
      <c r="E539">
        <v>30.43</v>
      </c>
      <c r="F539" t="str">
        <f t="shared" si="16"/>
        <v>2024-07</v>
      </c>
      <c r="G539">
        <f t="shared" si="17"/>
        <v>30.43</v>
      </c>
      <c r="H539" s="2">
        <v>45485.857630524908</v>
      </c>
      <c r="I539" t="s">
        <v>34</v>
      </c>
      <c r="J539" t="s">
        <v>1121</v>
      </c>
    </row>
    <row r="540" spans="1:10" x14ac:dyDescent="0.3">
      <c r="A540" t="s">
        <v>1122</v>
      </c>
      <c r="B540" t="s">
        <v>26</v>
      </c>
      <c r="C540" t="s">
        <v>28</v>
      </c>
      <c r="D540">
        <v>3</v>
      </c>
      <c r="E540">
        <v>29.86</v>
      </c>
      <c r="F540" t="str">
        <f t="shared" si="16"/>
        <v>2024-10</v>
      </c>
      <c r="G540">
        <f t="shared" si="17"/>
        <v>89.58</v>
      </c>
      <c r="H540" s="2">
        <v>45581.857630524908</v>
      </c>
      <c r="I540" t="s">
        <v>33</v>
      </c>
      <c r="J540" t="s">
        <v>1123</v>
      </c>
    </row>
    <row r="541" spans="1:10" x14ac:dyDescent="0.3">
      <c r="A541" t="s">
        <v>1124</v>
      </c>
      <c r="B541" t="s">
        <v>19</v>
      </c>
      <c r="C541" t="s">
        <v>28</v>
      </c>
      <c r="D541">
        <v>3</v>
      </c>
      <c r="E541">
        <v>53.7</v>
      </c>
      <c r="F541" t="str">
        <f t="shared" si="16"/>
        <v>2024-11</v>
      </c>
      <c r="G541">
        <f t="shared" si="17"/>
        <v>161.10000000000002</v>
      </c>
      <c r="H541" s="2">
        <v>45623.857630524908</v>
      </c>
      <c r="I541" t="s">
        <v>33</v>
      </c>
      <c r="J541" t="s">
        <v>1125</v>
      </c>
    </row>
    <row r="542" spans="1:10" x14ac:dyDescent="0.3">
      <c r="A542" t="s">
        <v>1126</v>
      </c>
      <c r="B542" t="s">
        <v>24</v>
      </c>
      <c r="C542" t="s">
        <v>28</v>
      </c>
      <c r="D542">
        <v>3</v>
      </c>
      <c r="E542">
        <v>37.82</v>
      </c>
      <c r="F542" t="str">
        <f t="shared" si="16"/>
        <v>2024-04</v>
      </c>
      <c r="G542">
        <f t="shared" si="17"/>
        <v>113.46000000000001</v>
      </c>
      <c r="H542" s="2">
        <v>45405.857630524908</v>
      </c>
      <c r="I542" t="s">
        <v>33</v>
      </c>
      <c r="J542" t="s">
        <v>1127</v>
      </c>
    </row>
    <row r="543" spans="1:10" x14ac:dyDescent="0.3">
      <c r="A543" t="s">
        <v>1128</v>
      </c>
      <c r="B543" t="s">
        <v>21</v>
      </c>
      <c r="C543" t="s">
        <v>30</v>
      </c>
      <c r="D543">
        <v>4</v>
      </c>
      <c r="E543">
        <v>19.36</v>
      </c>
      <c r="F543" t="str">
        <f t="shared" si="16"/>
        <v>2024-06</v>
      </c>
      <c r="G543">
        <f t="shared" si="17"/>
        <v>77.44</v>
      </c>
      <c r="H543" s="2">
        <v>45462.857630524908</v>
      </c>
      <c r="I543" t="s">
        <v>33</v>
      </c>
      <c r="J543" t="s">
        <v>1129</v>
      </c>
    </row>
    <row r="544" spans="1:10" x14ac:dyDescent="0.3">
      <c r="A544" t="s">
        <v>1130</v>
      </c>
      <c r="B544" t="s">
        <v>26</v>
      </c>
      <c r="C544" t="s">
        <v>28</v>
      </c>
      <c r="D544">
        <v>4</v>
      </c>
      <c r="E544">
        <v>15.27</v>
      </c>
      <c r="F544" t="str">
        <f t="shared" si="16"/>
        <v>2025-01</v>
      </c>
      <c r="G544">
        <f t="shared" si="17"/>
        <v>61.08</v>
      </c>
      <c r="H544" s="2">
        <v>45678.857630524908</v>
      </c>
      <c r="I544" t="s">
        <v>32</v>
      </c>
      <c r="J544" t="s">
        <v>1131</v>
      </c>
    </row>
    <row r="545" spans="1:10" x14ac:dyDescent="0.3">
      <c r="A545" t="s">
        <v>1132</v>
      </c>
      <c r="B545" t="s">
        <v>23</v>
      </c>
      <c r="C545" t="s">
        <v>28</v>
      </c>
      <c r="D545">
        <v>1</v>
      </c>
      <c r="E545">
        <v>40.78</v>
      </c>
      <c r="F545" t="str">
        <f t="shared" si="16"/>
        <v>2024-12</v>
      </c>
      <c r="G545">
        <f t="shared" si="17"/>
        <v>40.78</v>
      </c>
      <c r="H545" s="2">
        <v>45655.857630524908</v>
      </c>
      <c r="I545" t="s">
        <v>35</v>
      </c>
      <c r="J545" t="s">
        <v>1133</v>
      </c>
    </row>
    <row r="546" spans="1:10" x14ac:dyDescent="0.3">
      <c r="A546" t="s">
        <v>1134</v>
      </c>
      <c r="B546" t="s">
        <v>26</v>
      </c>
      <c r="C546" t="s">
        <v>28</v>
      </c>
      <c r="D546">
        <v>4</v>
      </c>
      <c r="E546">
        <v>26.73</v>
      </c>
      <c r="F546" t="str">
        <f t="shared" si="16"/>
        <v>2024-08</v>
      </c>
      <c r="G546">
        <f t="shared" si="17"/>
        <v>106.92</v>
      </c>
      <c r="H546" s="2">
        <v>45535.857630524908</v>
      </c>
      <c r="I546" t="s">
        <v>31</v>
      </c>
      <c r="J546" t="s">
        <v>1135</v>
      </c>
    </row>
    <row r="547" spans="1:10" x14ac:dyDescent="0.3">
      <c r="A547" t="s">
        <v>1136</v>
      </c>
      <c r="B547" t="s">
        <v>16</v>
      </c>
      <c r="C547" t="s">
        <v>29</v>
      </c>
      <c r="D547">
        <v>1</v>
      </c>
      <c r="E547">
        <v>33.409999999999997</v>
      </c>
      <c r="F547" t="str">
        <f t="shared" si="16"/>
        <v>2024-05</v>
      </c>
      <c r="G547">
        <f t="shared" si="17"/>
        <v>33.409999999999997</v>
      </c>
      <c r="H547" s="2">
        <v>45437.857630524908</v>
      </c>
      <c r="I547" t="s">
        <v>34</v>
      </c>
      <c r="J547" t="s">
        <v>1137</v>
      </c>
    </row>
    <row r="548" spans="1:10" x14ac:dyDescent="0.3">
      <c r="A548" t="s">
        <v>1138</v>
      </c>
      <c r="B548" t="s">
        <v>21</v>
      </c>
      <c r="C548" t="s">
        <v>30</v>
      </c>
      <c r="D548">
        <v>1</v>
      </c>
      <c r="E548">
        <v>24.16</v>
      </c>
      <c r="F548" t="str">
        <f t="shared" si="16"/>
        <v>2024-05</v>
      </c>
      <c r="G548">
        <f t="shared" si="17"/>
        <v>24.16</v>
      </c>
      <c r="H548" s="2">
        <v>45433.857630524908</v>
      </c>
      <c r="I548" t="s">
        <v>32</v>
      </c>
      <c r="J548" t="s">
        <v>1139</v>
      </c>
    </row>
    <row r="549" spans="1:10" x14ac:dyDescent="0.3">
      <c r="A549" t="s">
        <v>1140</v>
      </c>
      <c r="B549" t="s">
        <v>17</v>
      </c>
      <c r="C549" t="s">
        <v>29</v>
      </c>
      <c r="D549">
        <v>1</v>
      </c>
      <c r="E549">
        <v>14.61</v>
      </c>
      <c r="F549" t="str">
        <f t="shared" si="16"/>
        <v>2024-08</v>
      </c>
      <c r="G549">
        <f t="shared" si="17"/>
        <v>14.61</v>
      </c>
      <c r="H549" s="2">
        <v>45533.857630524908</v>
      </c>
      <c r="I549" t="s">
        <v>34</v>
      </c>
      <c r="J549" t="s">
        <v>1141</v>
      </c>
    </row>
    <row r="550" spans="1:10" x14ac:dyDescent="0.3">
      <c r="A550" t="s">
        <v>1142</v>
      </c>
      <c r="B550" t="s">
        <v>21</v>
      </c>
      <c r="C550" t="s">
        <v>30</v>
      </c>
      <c r="D550">
        <v>4</v>
      </c>
      <c r="E550">
        <v>25.6</v>
      </c>
      <c r="F550" t="str">
        <f t="shared" si="16"/>
        <v>2025-03</v>
      </c>
      <c r="G550">
        <f t="shared" si="17"/>
        <v>102.4</v>
      </c>
      <c r="H550" s="2">
        <v>45730.857630524908</v>
      </c>
      <c r="I550" t="s">
        <v>34</v>
      </c>
      <c r="J550" t="s">
        <v>1143</v>
      </c>
    </row>
    <row r="551" spans="1:10" x14ac:dyDescent="0.3">
      <c r="A551" t="s">
        <v>1144</v>
      </c>
      <c r="B551" t="s">
        <v>22</v>
      </c>
      <c r="C551" t="s">
        <v>30</v>
      </c>
      <c r="D551">
        <v>2</v>
      </c>
      <c r="E551">
        <v>47.48</v>
      </c>
      <c r="F551" t="str">
        <f t="shared" si="16"/>
        <v>2025-01</v>
      </c>
      <c r="G551">
        <f t="shared" si="17"/>
        <v>94.96</v>
      </c>
      <c r="H551" s="2">
        <v>45688.857630524908</v>
      </c>
      <c r="I551" t="s">
        <v>35</v>
      </c>
      <c r="J551" t="s">
        <v>1145</v>
      </c>
    </row>
    <row r="552" spans="1:10" x14ac:dyDescent="0.3">
      <c r="A552" t="s">
        <v>1146</v>
      </c>
      <c r="B552" t="s">
        <v>21</v>
      </c>
      <c r="C552" t="s">
        <v>30</v>
      </c>
      <c r="D552">
        <v>4</v>
      </c>
      <c r="E552">
        <v>59.21</v>
      </c>
      <c r="F552" t="str">
        <f t="shared" si="16"/>
        <v>2025-03</v>
      </c>
      <c r="G552">
        <f t="shared" si="17"/>
        <v>236.84</v>
      </c>
      <c r="H552" s="2">
        <v>45744.857630524908</v>
      </c>
      <c r="I552" t="s">
        <v>31</v>
      </c>
      <c r="J552" t="s">
        <v>1147</v>
      </c>
    </row>
    <row r="553" spans="1:10" x14ac:dyDescent="0.3">
      <c r="A553" t="s">
        <v>1148</v>
      </c>
      <c r="B553" t="s">
        <v>17</v>
      </c>
      <c r="C553" t="s">
        <v>29</v>
      </c>
      <c r="D553">
        <v>5</v>
      </c>
      <c r="E553">
        <v>35.93</v>
      </c>
      <c r="F553" t="str">
        <f t="shared" si="16"/>
        <v>2024-07</v>
      </c>
      <c r="G553">
        <f t="shared" si="17"/>
        <v>179.65</v>
      </c>
      <c r="H553" s="2">
        <v>45496.857630524908</v>
      </c>
      <c r="I553" t="s">
        <v>34</v>
      </c>
      <c r="J553" t="s">
        <v>1149</v>
      </c>
    </row>
    <row r="554" spans="1:10" x14ac:dyDescent="0.3">
      <c r="A554" t="s">
        <v>1150</v>
      </c>
      <c r="B554" t="s">
        <v>21</v>
      </c>
      <c r="C554" t="s">
        <v>30</v>
      </c>
      <c r="D554">
        <v>2</v>
      </c>
      <c r="E554">
        <v>15.18</v>
      </c>
      <c r="F554" t="str">
        <f t="shared" si="16"/>
        <v>2024-07</v>
      </c>
      <c r="G554">
        <f t="shared" si="17"/>
        <v>30.36</v>
      </c>
      <c r="H554" s="2">
        <v>45482.857630524908</v>
      </c>
      <c r="I554" t="s">
        <v>33</v>
      </c>
      <c r="J554" t="s">
        <v>1151</v>
      </c>
    </row>
    <row r="555" spans="1:10" x14ac:dyDescent="0.3">
      <c r="A555" t="s">
        <v>1152</v>
      </c>
      <c r="B555" t="s">
        <v>18</v>
      </c>
      <c r="C555" t="s">
        <v>29</v>
      </c>
      <c r="D555">
        <v>3</v>
      </c>
      <c r="E555">
        <v>28.58</v>
      </c>
      <c r="F555" t="str">
        <f t="shared" si="16"/>
        <v>2024-05</v>
      </c>
      <c r="G555">
        <f t="shared" si="17"/>
        <v>85.74</v>
      </c>
      <c r="H555" s="2">
        <v>45441.857630524908</v>
      </c>
      <c r="I555" t="s">
        <v>32</v>
      </c>
      <c r="J555" t="s">
        <v>1153</v>
      </c>
    </row>
    <row r="556" spans="1:10" x14ac:dyDescent="0.3">
      <c r="A556" t="s">
        <v>1154</v>
      </c>
      <c r="B556" t="s">
        <v>20</v>
      </c>
      <c r="C556" t="s">
        <v>30</v>
      </c>
      <c r="D556">
        <v>2</v>
      </c>
      <c r="E556">
        <v>56.73</v>
      </c>
      <c r="F556" t="str">
        <f t="shared" si="16"/>
        <v>2024-11</v>
      </c>
      <c r="G556">
        <f t="shared" si="17"/>
        <v>113.46</v>
      </c>
      <c r="H556" s="2">
        <v>45601.857630524908</v>
      </c>
      <c r="I556" t="s">
        <v>34</v>
      </c>
      <c r="J556" t="s">
        <v>1155</v>
      </c>
    </row>
    <row r="557" spans="1:10" x14ac:dyDescent="0.3">
      <c r="A557" t="s">
        <v>1156</v>
      </c>
      <c r="B557" t="s">
        <v>26</v>
      </c>
      <c r="C557" t="s">
        <v>28</v>
      </c>
      <c r="D557">
        <v>3</v>
      </c>
      <c r="E557">
        <v>25.84</v>
      </c>
      <c r="F557" t="str">
        <f t="shared" si="16"/>
        <v>2024-06</v>
      </c>
      <c r="G557">
        <f t="shared" si="17"/>
        <v>77.52</v>
      </c>
      <c r="H557" s="2">
        <v>45470.857630524908</v>
      </c>
      <c r="I557" t="s">
        <v>34</v>
      </c>
      <c r="J557" t="s">
        <v>1157</v>
      </c>
    </row>
    <row r="558" spans="1:10" x14ac:dyDescent="0.3">
      <c r="A558" t="s">
        <v>1158</v>
      </c>
      <c r="B558" t="s">
        <v>17</v>
      </c>
      <c r="C558" t="s">
        <v>29</v>
      </c>
      <c r="D558">
        <v>2</v>
      </c>
      <c r="E558">
        <v>48.85</v>
      </c>
      <c r="F558" t="str">
        <f t="shared" si="16"/>
        <v>2024-04</v>
      </c>
      <c r="G558">
        <f t="shared" si="17"/>
        <v>97.7</v>
      </c>
      <c r="H558" s="2">
        <v>45394.857630524908</v>
      </c>
      <c r="I558" t="s">
        <v>33</v>
      </c>
      <c r="J558" t="s">
        <v>1159</v>
      </c>
    </row>
    <row r="559" spans="1:10" x14ac:dyDescent="0.3">
      <c r="A559" t="s">
        <v>1160</v>
      </c>
      <c r="B559" t="s">
        <v>20</v>
      </c>
      <c r="C559" t="s">
        <v>30</v>
      </c>
      <c r="D559">
        <v>3</v>
      </c>
      <c r="E559">
        <v>54.4</v>
      </c>
      <c r="F559" t="str">
        <f t="shared" si="16"/>
        <v>2025-02</v>
      </c>
      <c r="G559">
        <f t="shared" si="17"/>
        <v>163.19999999999999</v>
      </c>
      <c r="H559" s="2">
        <v>45700.857630524908</v>
      </c>
      <c r="I559" t="s">
        <v>34</v>
      </c>
      <c r="J559" t="s">
        <v>1161</v>
      </c>
    </row>
    <row r="560" spans="1:10" x14ac:dyDescent="0.3">
      <c r="A560" t="s">
        <v>1162</v>
      </c>
      <c r="B560" t="s">
        <v>16</v>
      </c>
      <c r="C560" t="s">
        <v>29</v>
      </c>
      <c r="D560">
        <v>1</v>
      </c>
      <c r="E560">
        <v>31.44</v>
      </c>
      <c r="F560" t="str">
        <f t="shared" si="16"/>
        <v>2025-02</v>
      </c>
      <c r="G560">
        <f t="shared" si="17"/>
        <v>31.44</v>
      </c>
      <c r="H560" s="2">
        <v>45701.857630524908</v>
      </c>
      <c r="I560" t="s">
        <v>35</v>
      </c>
      <c r="J560" t="s">
        <v>1163</v>
      </c>
    </row>
    <row r="561" spans="1:10" x14ac:dyDescent="0.3">
      <c r="A561" t="s">
        <v>1164</v>
      </c>
      <c r="B561" t="s">
        <v>16</v>
      </c>
      <c r="C561" t="s">
        <v>29</v>
      </c>
      <c r="D561">
        <v>3</v>
      </c>
      <c r="E561">
        <v>15.73</v>
      </c>
      <c r="F561" t="str">
        <f t="shared" si="16"/>
        <v>2024-05</v>
      </c>
      <c r="G561">
        <f t="shared" si="17"/>
        <v>47.19</v>
      </c>
      <c r="H561" s="2">
        <v>45425.857630524908</v>
      </c>
      <c r="I561" t="s">
        <v>32</v>
      </c>
      <c r="J561" t="s">
        <v>1165</v>
      </c>
    </row>
    <row r="562" spans="1:10" x14ac:dyDescent="0.3">
      <c r="A562" t="s">
        <v>1166</v>
      </c>
      <c r="B562" t="s">
        <v>16</v>
      </c>
      <c r="C562" t="s">
        <v>29</v>
      </c>
      <c r="D562">
        <v>3</v>
      </c>
      <c r="E562">
        <v>35.79</v>
      </c>
      <c r="F562" t="str">
        <f t="shared" si="16"/>
        <v>2025-01</v>
      </c>
      <c r="G562">
        <f t="shared" si="17"/>
        <v>107.37</v>
      </c>
      <c r="H562" s="2">
        <v>45667.857630524908</v>
      </c>
      <c r="I562" t="s">
        <v>32</v>
      </c>
      <c r="J562" t="s">
        <v>1167</v>
      </c>
    </row>
    <row r="563" spans="1:10" x14ac:dyDescent="0.3">
      <c r="A563" t="s">
        <v>1168</v>
      </c>
      <c r="B563" t="s">
        <v>25</v>
      </c>
      <c r="C563" t="s">
        <v>30</v>
      </c>
      <c r="D563">
        <v>5</v>
      </c>
      <c r="E563">
        <v>25.69</v>
      </c>
      <c r="F563" t="str">
        <f t="shared" si="16"/>
        <v>2024-11</v>
      </c>
      <c r="G563">
        <f t="shared" si="17"/>
        <v>128.45000000000002</v>
      </c>
      <c r="H563" s="2">
        <v>45600.857630524908</v>
      </c>
      <c r="I563" t="s">
        <v>35</v>
      </c>
      <c r="J563" t="s">
        <v>1169</v>
      </c>
    </row>
    <row r="564" spans="1:10" x14ac:dyDescent="0.3">
      <c r="A564" t="s">
        <v>1170</v>
      </c>
      <c r="B564" t="s">
        <v>17</v>
      </c>
      <c r="C564" t="s">
        <v>29</v>
      </c>
      <c r="D564">
        <v>4</v>
      </c>
      <c r="E564">
        <v>25.77</v>
      </c>
      <c r="F564" t="str">
        <f t="shared" si="16"/>
        <v>2024-12</v>
      </c>
      <c r="G564">
        <f t="shared" si="17"/>
        <v>103.08</v>
      </c>
      <c r="H564" s="2">
        <v>45642.857630524908</v>
      </c>
      <c r="I564" t="s">
        <v>31</v>
      </c>
      <c r="J564" t="s">
        <v>1171</v>
      </c>
    </row>
    <row r="565" spans="1:10" x14ac:dyDescent="0.3">
      <c r="A565" t="s">
        <v>1172</v>
      </c>
      <c r="B565" t="s">
        <v>25</v>
      </c>
      <c r="C565" t="s">
        <v>30</v>
      </c>
      <c r="D565">
        <v>2</v>
      </c>
      <c r="E565">
        <v>31.43</v>
      </c>
      <c r="F565" t="str">
        <f t="shared" si="16"/>
        <v>2024-07</v>
      </c>
      <c r="G565">
        <f t="shared" si="17"/>
        <v>62.86</v>
      </c>
      <c r="H565" s="2">
        <v>45496.857630524908</v>
      </c>
      <c r="I565" t="s">
        <v>31</v>
      </c>
      <c r="J565" t="s">
        <v>1173</v>
      </c>
    </row>
    <row r="566" spans="1:10" x14ac:dyDescent="0.3">
      <c r="A566" t="s">
        <v>1174</v>
      </c>
      <c r="B566" t="s">
        <v>26</v>
      </c>
      <c r="C566" t="s">
        <v>28</v>
      </c>
      <c r="D566">
        <v>5</v>
      </c>
      <c r="E566">
        <v>25.37</v>
      </c>
      <c r="F566" t="str">
        <f t="shared" si="16"/>
        <v>2024-11</v>
      </c>
      <c r="G566">
        <f t="shared" si="17"/>
        <v>126.85000000000001</v>
      </c>
      <c r="H566" s="2">
        <v>45623.857630524908</v>
      </c>
      <c r="I566" t="s">
        <v>35</v>
      </c>
      <c r="J566" t="s">
        <v>1175</v>
      </c>
    </row>
    <row r="567" spans="1:10" x14ac:dyDescent="0.3">
      <c r="A567" t="s">
        <v>1176</v>
      </c>
      <c r="B567" t="s">
        <v>16</v>
      </c>
      <c r="C567" t="s">
        <v>29</v>
      </c>
      <c r="D567">
        <v>3</v>
      </c>
      <c r="E567">
        <v>45.06</v>
      </c>
      <c r="F567" t="str">
        <f t="shared" si="16"/>
        <v>2024-06</v>
      </c>
      <c r="G567">
        <f t="shared" si="17"/>
        <v>135.18</v>
      </c>
      <c r="H567" s="2">
        <v>45462.857630524908</v>
      </c>
      <c r="I567" t="s">
        <v>33</v>
      </c>
      <c r="J567" t="s">
        <v>1177</v>
      </c>
    </row>
    <row r="568" spans="1:10" x14ac:dyDescent="0.3">
      <c r="A568" t="s">
        <v>1178</v>
      </c>
      <c r="B568" t="s">
        <v>24</v>
      </c>
      <c r="C568" t="s">
        <v>28</v>
      </c>
      <c r="D568">
        <v>1</v>
      </c>
      <c r="E568">
        <v>39.119999999999997</v>
      </c>
      <c r="F568" t="str">
        <f t="shared" si="16"/>
        <v>2024-05</v>
      </c>
      <c r="G568">
        <f t="shared" si="17"/>
        <v>39.119999999999997</v>
      </c>
      <c r="H568" s="2">
        <v>45437.857630524908</v>
      </c>
      <c r="I568" t="s">
        <v>35</v>
      </c>
      <c r="J568" t="s">
        <v>1179</v>
      </c>
    </row>
    <row r="569" spans="1:10" x14ac:dyDescent="0.3">
      <c r="A569" t="s">
        <v>1180</v>
      </c>
      <c r="B569" t="s">
        <v>24</v>
      </c>
      <c r="C569" t="s">
        <v>28</v>
      </c>
      <c r="D569">
        <v>1</v>
      </c>
      <c r="E569">
        <v>39.79</v>
      </c>
      <c r="F569" t="str">
        <f t="shared" si="16"/>
        <v>2024-06</v>
      </c>
      <c r="G569">
        <f t="shared" si="17"/>
        <v>39.79</v>
      </c>
      <c r="H569" s="2">
        <v>45467.857630524908</v>
      </c>
      <c r="I569" t="s">
        <v>32</v>
      </c>
      <c r="J569" t="s">
        <v>1181</v>
      </c>
    </row>
    <row r="570" spans="1:10" x14ac:dyDescent="0.3">
      <c r="A570" t="s">
        <v>1182</v>
      </c>
      <c r="B570" t="s">
        <v>23</v>
      </c>
      <c r="C570" t="s">
        <v>28</v>
      </c>
      <c r="D570">
        <v>3</v>
      </c>
      <c r="E570">
        <v>23.88</v>
      </c>
      <c r="F570" t="str">
        <f t="shared" si="16"/>
        <v>2024-04</v>
      </c>
      <c r="G570">
        <f t="shared" si="17"/>
        <v>71.64</v>
      </c>
      <c r="H570" s="2">
        <v>45408.857630524908</v>
      </c>
      <c r="I570" t="s">
        <v>33</v>
      </c>
      <c r="J570" t="s">
        <v>1183</v>
      </c>
    </row>
    <row r="571" spans="1:10" x14ac:dyDescent="0.3">
      <c r="A571" t="s">
        <v>1184</v>
      </c>
      <c r="B571" t="s">
        <v>24</v>
      </c>
      <c r="C571" t="s">
        <v>28</v>
      </c>
      <c r="D571">
        <v>5</v>
      </c>
      <c r="E571">
        <v>22.92</v>
      </c>
      <c r="F571" t="str">
        <f t="shared" si="16"/>
        <v>2024-11</v>
      </c>
      <c r="G571">
        <f t="shared" si="17"/>
        <v>114.60000000000001</v>
      </c>
      <c r="H571" s="2">
        <v>45622.857630524908</v>
      </c>
      <c r="I571" t="s">
        <v>32</v>
      </c>
      <c r="J571" t="s">
        <v>1185</v>
      </c>
    </row>
    <row r="572" spans="1:10" x14ac:dyDescent="0.3">
      <c r="A572" t="s">
        <v>1186</v>
      </c>
      <c r="B572" t="s">
        <v>16</v>
      </c>
      <c r="C572" t="s">
        <v>29</v>
      </c>
      <c r="D572">
        <v>1</v>
      </c>
      <c r="E572">
        <v>18.45</v>
      </c>
      <c r="F572" t="str">
        <f t="shared" si="16"/>
        <v>2024-10</v>
      </c>
      <c r="G572">
        <f t="shared" si="17"/>
        <v>18.45</v>
      </c>
      <c r="H572" s="2">
        <v>45583.857630524908</v>
      </c>
      <c r="I572" t="s">
        <v>33</v>
      </c>
      <c r="J572" t="s">
        <v>1187</v>
      </c>
    </row>
    <row r="573" spans="1:10" x14ac:dyDescent="0.3">
      <c r="A573" t="s">
        <v>1188</v>
      </c>
      <c r="B573" t="s">
        <v>20</v>
      </c>
      <c r="C573" t="s">
        <v>30</v>
      </c>
      <c r="D573">
        <v>1</v>
      </c>
      <c r="E573">
        <v>44.99</v>
      </c>
      <c r="F573" t="str">
        <f t="shared" si="16"/>
        <v>2025-03</v>
      </c>
      <c r="G573">
        <f t="shared" si="17"/>
        <v>44.99</v>
      </c>
      <c r="H573" s="2">
        <v>45726.857630524908</v>
      </c>
      <c r="I573" t="s">
        <v>32</v>
      </c>
      <c r="J573" t="s">
        <v>1189</v>
      </c>
    </row>
    <row r="574" spans="1:10" x14ac:dyDescent="0.3">
      <c r="A574" t="s">
        <v>1190</v>
      </c>
      <c r="B574" t="s">
        <v>23</v>
      </c>
      <c r="C574" t="s">
        <v>28</v>
      </c>
      <c r="D574">
        <v>1</v>
      </c>
      <c r="E574">
        <v>58.46</v>
      </c>
      <c r="F574" t="str">
        <f t="shared" si="16"/>
        <v>2025-01</v>
      </c>
      <c r="G574">
        <f t="shared" si="17"/>
        <v>58.46</v>
      </c>
      <c r="H574" s="2">
        <v>45666.857630524908</v>
      </c>
      <c r="I574" t="s">
        <v>31</v>
      </c>
      <c r="J574" t="s">
        <v>1191</v>
      </c>
    </row>
    <row r="575" spans="1:10" x14ac:dyDescent="0.3">
      <c r="A575" t="s">
        <v>1192</v>
      </c>
      <c r="B575" t="s">
        <v>20</v>
      </c>
      <c r="C575" t="s">
        <v>30</v>
      </c>
      <c r="D575">
        <v>5</v>
      </c>
      <c r="E575">
        <v>35.79</v>
      </c>
      <c r="F575" t="str">
        <f t="shared" si="16"/>
        <v>2025-01</v>
      </c>
      <c r="G575">
        <f t="shared" si="17"/>
        <v>178.95</v>
      </c>
      <c r="H575" s="2">
        <v>45666.857630524908</v>
      </c>
      <c r="I575" t="s">
        <v>32</v>
      </c>
      <c r="J575" t="s">
        <v>1193</v>
      </c>
    </row>
    <row r="576" spans="1:10" x14ac:dyDescent="0.3">
      <c r="A576" t="s">
        <v>1194</v>
      </c>
      <c r="B576" t="s">
        <v>18</v>
      </c>
      <c r="C576" t="s">
        <v>29</v>
      </c>
      <c r="D576">
        <v>3</v>
      </c>
      <c r="E576">
        <v>16.850000000000001</v>
      </c>
      <c r="F576" t="str">
        <f t="shared" si="16"/>
        <v>2025-01</v>
      </c>
      <c r="G576">
        <f t="shared" si="17"/>
        <v>50.550000000000004</v>
      </c>
      <c r="H576" s="2">
        <v>45672.857630524908</v>
      </c>
      <c r="I576" t="s">
        <v>34</v>
      </c>
      <c r="J576" t="s">
        <v>1195</v>
      </c>
    </row>
    <row r="577" spans="1:10" x14ac:dyDescent="0.3">
      <c r="A577" t="s">
        <v>1196</v>
      </c>
      <c r="B577" t="s">
        <v>17</v>
      </c>
      <c r="C577" t="s">
        <v>29</v>
      </c>
      <c r="D577">
        <v>2</v>
      </c>
      <c r="E577">
        <v>35.799999999999997</v>
      </c>
      <c r="F577" t="str">
        <f t="shared" si="16"/>
        <v>2024-07</v>
      </c>
      <c r="G577">
        <f t="shared" si="17"/>
        <v>71.599999999999994</v>
      </c>
      <c r="H577" s="2">
        <v>45498.857630524908</v>
      </c>
      <c r="I577" t="s">
        <v>33</v>
      </c>
      <c r="J577" t="s">
        <v>1197</v>
      </c>
    </row>
    <row r="578" spans="1:10" x14ac:dyDescent="0.3">
      <c r="A578" t="s">
        <v>1198</v>
      </c>
      <c r="B578" t="s">
        <v>20</v>
      </c>
      <c r="C578" t="s">
        <v>30</v>
      </c>
      <c r="D578">
        <v>4</v>
      </c>
      <c r="E578">
        <v>56.92</v>
      </c>
      <c r="F578" t="str">
        <f t="shared" si="16"/>
        <v>2024-07</v>
      </c>
      <c r="G578">
        <f t="shared" si="17"/>
        <v>227.68</v>
      </c>
      <c r="H578" s="2">
        <v>45475.857630524908</v>
      </c>
      <c r="I578" t="s">
        <v>33</v>
      </c>
      <c r="J578" t="s">
        <v>1199</v>
      </c>
    </row>
    <row r="579" spans="1:10" x14ac:dyDescent="0.3">
      <c r="A579" t="s">
        <v>1200</v>
      </c>
      <c r="B579" t="s">
        <v>19</v>
      </c>
      <c r="C579" t="s">
        <v>28</v>
      </c>
      <c r="D579">
        <v>2</v>
      </c>
      <c r="E579">
        <v>28.07</v>
      </c>
      <c r="F579" t="str">
        <f t="shared" ref="F579:F642" si="18">TEXT(H579, "yyyy-mm")</f>
        <v>2025-03</v>
      </c>
      <c r="G579">
        <f t="shared" ref="G579:G642" si="19">D579*E579</f>
        <v>56.14</v>
      </c>
      <c r="H579" s="2">
        <v>45744.857630524908</v>
      </c>
      <c r="I579" t="s">
        <v>33</v>
      </c>
      <c r="J579" t="s">
        <v>1201</v>
      </c>
    </row>
    <row r="580" spans="1:10" x14ac:dyDescent="0.3">
      <c r="A580" t="s">
        <v>1202</v>
      </c>
      <c r="B580" t="s">
        <v>22</v>
      </c>
      <c r="C580" t="s">
        <v>30</v>
      </c>
      <c r="D580">
        <v>2</v>
      </c>
      <c r="E580">
        <v>16.05</v>
      </c>
      <c r="F580" t="str">
        <f t="shared" si="18"/>
        <v>2024-09</v>
      </c>
      <c r="G580">
        <f t="shared" si="19"/>
        <v>32.1</v>
      </c>
      <c r="H580" s="2">
        <v>45547.857630524908</v>
      </c>
      <c r="I580" t="s">
        <v>35</v>
      </c>
      <c r="J580" t="s">
        <v>1203</v>
      </c>
    </row>
    <row r="581" spans="1:10" x14ac:dyDescent="0.3">
      <c r="A581" t="s">
        <v>1204</v>
      </c>
      <c r="B581" t="s">
        <v>25</v>
      </c>
      <c r="C581" t="s">
        <v>30</v>
      </c>
      <c r="D581">
        <v>2</v>
      </c>
      <c r="E581">
        <v>14.97</v>
      </c>
      <c r="F581" t="str">
        <f t="shared" si="18"/>
        <v>2025-02</v>
      </c>
      <c r="G581">
        <f t="shared" si="19"/>
        <v>29.94</v>
      </c>
      <c r="H581" s="2">
        <v>45693.857630524908</v>
      </c>
      <c r="I581" t="s">
        <v>35</v>
      </c>
      <c r="J581" t="s">
        <v>1205</v>
      </c>
    </row>
    <row r="582" spans="1:10" x14ac:dyDescent="0.3">
      <c r="A582" t="s">
        <v>1206</v>
      </c>
      <c r="B582" t="s">
        <v>27</v>
      </c>
      <c r="C582" t="s">
        <v>28</v>
      </c>
      <c r="D582">
        <v>1</v>
      </c>
      <c r="E582">
        <v>50.1</v>
      </c>
      <c r="F582" t="str">
        <f t="shared" si="18"/>
        <v>2024-07</v>
      </c>
      <c r="G582">
        <f t="shared" si="19"/>
        <v>50.1</v>
      </c>
      <c r="H582" s="2">
        <v>45493.857630524908</v>
      </c>
      <c r="I582" t="s">
        <v>32</v>
      </c>
      <c r="J582" t="s">
        <v>1207</v>
      </c>
    </row>
    <row r="583" spans="1:10" x14ac:dyDescent="0.3">
      <c r="A583" t="s">
        <v>1208</v>
      </c>
      <c r="B583" t="s">
        <v>19</v>
      </c>
      <c r="C583" t="s">
        <v>28</v>
      </c>
      <c r="D583">
        <v>3</v>
      </c>
      <c r="E583">
        <v>45.11</v>
      </c>
      <c r="F583" t="str">
        <f t="shared" si="18"/>
        <v>2024-12</v>
      </c>
      <c r="G583">
        <f t="shared" si="19"/>
        <v>135.32999999999998</v>
      </c>
      <c r="H583" s="2">
        <v>45649.857630524908</v>
      </c>
      <c r="I583" t="s">
        <v>32</v>
      </c>
      <c r="J583" t="s">
        <v>1209</v>
      </c>
    </row>
    <row r="584" spans="1:10" x14ac:dyDescent="0.3">
      <c r="A584" t="s">
        <v>1210</v>
      </c>
      <c r="B584" t="s">
        <v>17</v>
      </c>
      <c r="C584" t="s">
        <v>29</v>
      </c>
      <c r="D584">
        <v>2</v>
      </c>
      <c r="E584">
        <v>33.79</v>
      </c>
      <c r="F584" t="str">
        <f t="shared" si="18"/>
        <v>2024-04</v>
      </c>
      <c r="G584">
        <f t="shared" si="19"/>
        <v>67.58</v>
      </c>
      <c r="H584" s="2">
        <v>45388.857630524908</v>
      </c>
      <c r="I584" t="s">
        <v>35</v>
      </c>
      <c r="J584" t="s">
        <v>1211</v>
      </c>
    </row>
    <row r="585" spans="1:10" x14ac:dyDescent="0.3">
      <c r="A585" t="s">
        <v>1212</v>
      </c>
      <c r="B585" t="s">
        <v>24</v>
      </c>
      <c r="C585" t="s">
        <v>28</v>
      </c>
      <c r="D585">
        <v>3</v>
      </c>
      <c r="E585">
        <v>30.95</v>
      </c>
      <c r="F585" t="str">
        <f t="shared" si="18"/>
        <v>2024-07</v>
      </c>
      <c r="G585">
        <f t="shared" si="19"/>
        <v>92.85</v>
      </c>
      <c r="H585" s="2">
        <v>45481.857630524908</v>
      </c>
      <c r="I585" t="s">
        <v>34</v>
      </c>
      <c r="J585" t="s">
        <v>1213</v>
      </c>
    </row>
    <row r="586" spans="1:10" x14ac:dyDescent="0.3">
      <c r="A586" t="s">
        <v>1214</v>
      </c>
      <c r="B586" t="s">
        <v>21</v>
      </c>
      <c r="C586" t="s">
        <v>30</v>
      </c>
      <c r="D586">
        <v>5</v>
      </c>
      <c r="E586">
        <v>15.69</v>
      </c>
      <c r="F586" t="str">
        <f t="shared" si="18"/>
        <v>2024-10</v>
      </c>
      <c r="G586">
        <f t="shared" si="19"/>
        <v>78.45</v>
      </c>
      <c r="H586" s="2">
        <v>45596.857630524908</v>
      </c>
      <c r="I586" t="s">
        <v>31</v>
      </c>
      <c r="J586" t="s">
        <v>1215</v>
      </c>
    </row>
    <row r="587" spans="1:10" x14ac:dyDescent="0.3">
      <c r="A587" t="s">
        <v>1216</v>
      </c>
      <c r="B587" t="s">
        <v>20</v>
      </c>
      <c r="C587" t="s">
        <v>30</v>
      </c>
      <c r="D587">
        <v>4</v>
      </c>
      <c r="E587">
        <v>17.07</v>
      </c>
      <c r="F587" t="str">
        <f t="shared" si="18"/>
        <v>2024-12</v>
      </c>
      <c r="G587">
        <f t="shared" si="19"/>
        <v>68.28</v>
      </c>
      <c r="H587" s="2">
        <v>45644.857630524908</v>
      </c>
      <c r="I587" t="s">
        <v>33</v>
      </c>
      <c r="J587" t="s">
        <v>1217</v>
      </c>
    </row>
    <row r="588" spans="1:10" x14ac:dyDescent="0.3">
      <c r="A588" t="s">
        <v>1218</v>
      </c>
      <c r="B588" t="s">
        <v>17</v>
      </c>
      <c r="C588" t="s">
        <v>29</v>
      </c>
      <c r="D588">
        <v>3</v>
      </c>
      <c r="E588">
        <v>34.94</v>
      </c>
      <c r="F588" t="str">
        <f t="shared" si="18"/>
        <v>2024-06</v>
      </c>
      <c r="G588">
        <f t="shared" si="19"/>
        <v>104.82</v>
      </c>
      <c r="H588" s="2">
        <v>45465.857630524908</v>
      </c>
      <c r="I588" t="s">
        <v>31</v>
      </c>
      <c r="J588" t="s">
        <v>1219</v>
      </c>
    </row>
    <row r="589" spans="1:10" x14ac:dyDescent="0.3">
      <c r="A589" t="s">
        <v>1220</v>
      </c>
      <c r="B589" t="s">
        <v>24</v>
      </c>
      <c r="C589" t="s">
        <v>28</v>
      </c>
      <c r="D589">
        <v>1</v>
      </c>
      <c r="E589">
        <v>46.2</v>
      </c>
      <c r="F589" t="str">
        <f t="shared" si="18"/>
        <v>2024-06</v>
      </c>
      <c r="G589">
        <f t="shared" si="19"/>
        <v>46.2</v>
      </c>
      <c r="H589" s="2">
        <v>45450.857630524908</v>
      </c>
      <c r="I589" t="s">
        <v>34</v>
      </c>
      <c r="J589" t="s">
        <v>1221</v>
      </c>
    </row>
    <row r="590" spans="1:10" x14ac:dyDescent="0.3">
      <c r="A590" t="s">
        <v>1222</v>
      </c>
      <c r="B590" t="s">
        <v>16</v>
      </c>
      <c r="C590" t="s">
        <v>29</v>
      </c>
      <c r="D590">
        <v>2</v>
      </c>
      <c r="E590">
        <v>15.91</v>
      </c>
      <c r="F590" t="str">
        <f t="shared" si="18"/>
        <v>2025-01</v>
      </c>
      <c r="G590">
        <f t="shared" si="19"/>
        <v>31.82</v>
      </c>
      <c r="H590" s="2">
        <v>45681.857630524908</v>
      </c>
      <c r="I590" t="s">
        <v>31</v>
      </c>
      <c r="J590" t="s">
        <v>1223</v>
      </c>
    </row>
    <row r="591" spans="1:10" x14ac:dyDescent="0.3">
      <c r="A591" t="s">
        <v>1224</v>
      </c>
      <c r="B591" t="s">
        <v>16</v>
      </c>
      <c r="C591" t="s">
        <v>29</v>
      </c>
      <c r="D591">
        <v>2</v>
      </c>
      <c r="E591">
        <v>36.22</v>
      </c>
      <c r="F591" t="str">
        <f t="shared" si="18"/>
        <v>2025-02</v>
      </c>
      <c r="G591">
        <f t="shared" si="19"/>
        <v>72.44</v>
      </c>
      <c r="H591" s="2">
        <v>45706.857630524908</v>
      </c>
      <c r="I591" t="s">
        <v>34</v>
      </c>
      <c r="J591" t="s">
        <v>1225</v>
      </c>
    </row>
    <row r="592" spans="1:10" x14ac:dyDescent="0.3">
      <c r="A592" t="s">
        <v>1226</v>
      </c>
      <c r="B592" t="s">
        <v>18</v>
      </c>
      <c r="C592" t="s">
        <v>29</v>
      </c>
      <c r="D592">
        <v>2</v>
      </c>
      <c r="E592">
        <v>26.02</v>
      </c>
      <c r="F592" t="str">
        <f t="shared" si="18"/>
        <v>2024-05</v>
      </c>
      <c r="G592">
        <f t="shared" si="19"/>
        <v>52.04</v>
      </c>
      <c r="H592" s="2">
        <v>45413.857630524908</v>
      </c>
      <c r="I592" t="s">
        <v>34</v>
      </c>
      <c r="J592" t="s">
        <v>1227</v>
      </c>
    </row>
    <row r="593" spans="1:10" x14ac:dyDescent="0.3">
      <c r="A593" t="s">
        <v>1228</v>
      </c>
      <c r="B593" t="s">
        <v>17</v>
      </c>
      <c r="C593" t="s">
        <v>29</v>
      </c>
      <c r="D593">
        <v>1</v>
      </c>
      <c r="E593">
        <v>48.14</v>
      </c>
      <c r="F593" t="str">
        <f t="shared" si="18"/>
        <v>2025-03</v>
      </c>
      <c r="G593">
        <f t="shared" si="19"/>
        <v>48.14</v>
      </c>
      <c r="H593" s="2">
        <v>45721.857630524908</v>
      </c>
      <c r="I593" t="s">
        <v>31</v>
      </c>
      <c r="J593" t="s">
        <v>1229</v>
      </c>
    </row>
    <row r="594" spans="1:10" x14ac:dyDescent="0.3">
      <c r="A594" t="s">
        <v>1230</v>
      </c>
      <c r="B594" t="s">
        <v>16</v>
      </c>
      <c r="C594" t="s">
        <v>29</v>
      </c>
      <c r="D594">
        <v>1</v>
      </c>
      <c r="E594">
        <v>17.809999999999999</v>
      </c>
      <c r="F594" t="str">
        <f t="shared" si="18"/>
        <v>2025-03</v>
      </c>
      <c r="G594">
        <f t="shared" si="19"/>
        <v>17.809999999999999</v>
      </c>
      <c r="H594" s="2">
        <v>45738.857630524908</v>
      </c>
      <c r="I594" t="s">
        <v>31</v>
      </c>
      <c r="J594" t="s">
        <v>1231</v>
      </c>
    </row>
    <row r="595" spans="1:10" x14ac:dyDescent="0.3">
      <c r="A595" t="s">
        <v>1232</v>
      </c>
      <c r="B595" t="s">
        <v>23</v>
      </c>
      <c r="C595" t="s">
        <v>28</v>
      </c>
      <c r="D595">
        <v>2</v>
      </c>
      <c r="E595">
        <v>45.72</v>
      </c>
      <c r="F595" t="str">
        <f t="shared" si="18"/>
        <v>2024-10</v>
      </c>
      <c r="G595">
        <f t="shared" si="19"/>
        <v>91.44</v>
      </c>
      <c r="H595" s="2">
        <v>45569.857630524908</v>
      </c>
      <c r="I595" t="s">
        <v>34</v>
      </c>
      <c r="J595" t="s">
        <v>1233</v>
      </c>
    </row>
    <row r="596" spans="1:10" x14ac:dyDescent="0.3">
      <c r="A596" t="s">
        <v>1234</v>
      </c>
      <c r="B596" t="s">
        <v>24</v>
      </c>
      <c r="C596" t="s">
        <v>28</v>
      </c>
      <c r="D596">
        <v>4</v>
      </c>
      <c r="E596">
        <v>25.48</v>
      </c>
      <c r="F596" t="str">
        <f t="shared" si="18"/>
        <v>2024-04</v>
      </c>
      <c r="G596">
        <f t="shared" si="19"/>
        <v>101.92</v>
      </c>
      <c r="H596" s="2">
        <v>45403.857630524908</v>
      </c>
      <c r="I596" t="s">
        <v>33</v>
      </c>
      <c r="J596" t="s">
        <v>1235</v>
      </c>
    </row>
    <row r="597" spans="1:10" x14ac:dyDescent="0.3">
      <c r="A597" t="s">
        <v>1236</v>
      </c>
      <c r="B597" t="s">
        <v>21</v>
      </c>
      <c r="C597" t="s">
        <v>30</v>
      </c>
      <c r="D597">
        <v>3</v>
      </c>
      <c r="E597">
        <v>34.950000000000003</v>
      </c>
      <c r="F597" t="str">
        <f t="shared" si="18"/>
        <v>2025-02</v>
      </c>
      <c r="G597">
        <f t="shared" si="19"/>
        <v>104.85000000000001</v>
      </c>
      <c r="H597" s="2">
        <v>45704.857630524908</v>
      </c>
      <c r="I597" t="s">
        <v>31</v>
      </c>
      <c r="J597" t="s">
        <v>1237</v>
      </c>
    </row>
    <row r="598" spans="1:10" x14ac:dyDescent="0.3">
      <c r="A598" t="s">
        <v>1238</v>
      </c>
      <c r="B598" t="s">
        <v>16</v>
      </c>
      <c r="C598" t="s">
        <v>29</v>
      </c>
      <c r="D598">
        <v>3</v>
      </c>
      <c r="E598">
        <v>57.36</v>
      </c>
      <c r="F598" t="str">
        <f t="shared" si="18"/>
        <v>2025-01</v>
      </c>
      <c r="G598">
        <f t="shared" si="19"/>
        <v>172.07999999999998</v>
      </c>
      <c r="H598" s="2">
        <v>45688.857630524908</v>
      </c>
      <c r="I598" t="s">
        <v>31</v>
      </c>
      <c r="J598" t="s">
        <v>1239</v>
      </c>
    </row>
    <row r="599" spans="1:10" x14ac:dyDescent="0.3">
      <c r="A599" t="s">
        <v>1240</v>
      </c>
      <c r="B599" t="s">
        <v>25</v>
      </c>
      <c r="C599" t="s">
        <v>30</v>
      </c>
      <c r="D599">
        <v>4</v>
      </c>
      <c r="E599">
        <v>45</v>
      </c>
      <c r="F599" t="str">
        <f t="shared" si="18"/>
        <v>2024-10</v>
      </c>
      <c r="G599">
        <f t="shared" si="19"/>
        <v>180</v>
      </c>
      <c r="H599" s="2">
        <v>45587.857630524908</v>
      </c>
      <c r="I599" t="s">
        <v>33</v>
      </c>
      <c r="J599" t="s">
        <v>1241</v>
      </c>
    </row>
    <row r="600" spans="1:10" x14ac:dyDescent="0.3">
      <c r="A600" t="s">
        <v>1242</v>
      </c>
      <c r="B600" t="s">
        <v>20</v>
      </c>
      <c r="C600" t="s">
        <v>30</v>
      </c>
      <c r="D600">
        <v>1</v>
      </c>
      <c r="E600">
        <v>44.47</v>
      </c>
      <c r="F600" t="str">
        <f t="shared" si="18"/>
        <v>2024-07</v>
      </c>
      <c r="G600">
        <f t="shared" si="19"/>
        <v>44.47</v>
      </c>
      <c r="H600" s="2">
        <v>45492.857630524908</v>
      </c>
      <c r="I600" t="s">
        <v>34</v>
      </c>
      <c r="J600" t="s">
        <v>1243</v>
      </c>
    </row>
    <row r="601" spans="1:10" x14ac:dyDescent="0.3">
      <c r="A601" t="s">
        <v>1244</v>
      </c>
      <c r="B601" t="s">
        <v>20</v>
      </c>
      <c r="C601" t="s">
        <v>30</v>
      </c>
      <c r="D601">
        <v>3</v>
      </c>
      <c r="E601">
        <v>27.73</v>
      </c>
      <c r="F601" t="str">
        <f t="shared" si="18"/>
        <v>2024-12</v>
      </c>
      <c r="G601">
        <f t="shared" si="19"/>
        <v>83.19</v>
      </c>
      <c r="H601" s="2">
        <v>45632.857630524908</v>
      </c>
      <c r="I601" t="s">
        <v>34</v>
      </c>
      <c r="J601" t="s">
        <v>1245</v>
      </c>
    </row>
    <row r="602" spans="1:10" x14ac:dyDescent="0.3">
      <c r="A602" t="s">
        <v>1246</v>
      </c>
      <c r="B602" t="s">
        <v>20</v>
      </c>
      <c r="C602" t="s">
        <v>30</v>
      </c>
      <c r="D602">
        <v>4</v>
      </c>
      <c r="E602">
        <v>53.33</v>
      </c>
      <c r="F602" t="str">
        <f t="shared" si="18"/>
        <v>2025-01</v>
      </c>
      <c r="G602">
        <f t="shared" si="19"/>
        <v>213.32</v>
      </c>
      <c r="H602" s="2">
        <v>45661.857630524908</v>
      </c>
      <c r="I602" t="s">
        <v>35</v>
      </c>
      <c r="J602" t="s">
        <v>1247</v>
      </c>
    </row>
    <row r="603" spans="1:10" x14ac:dyDescent="0.3">
      <c r="A603" t="s">
        <v>1248</v>
      </c>
      <c r="B603" t="s">
        <v>19</v>
      </c>
      <c r="C603" t="s">
        <v>28</v>
      </c>
      <c r="D603">
        <v>3</v>
      </c>
      <c r="E603">
        <v>14.61</v>
      </c>
      <c r="F603" t="str">
        <f t="shared" si="18"/>
        <v>2024-10</v>
      </c>
      <c r="G603">
        <f t="shared" si="19"/>
        <v>43.83</v>
      </c>
      <c r="H603" s="2">
        <v>45592.857630524908</v>
      </c>
      <c r="I603" t="s">
        <v>31</v>
      </c>
      <c r="J603" t="s">
        <v>1249</v>
      </c>
    </row>
    <row r="604" spans="1:10" x14ac:dyDescent="0.3">
      <c r="A604" t="s">
        <v>1250</v>
      </c>
      <c r="B604" t="s">
        <v>24</v>
      </c>
      <c r="C604" t="s">
        <v>28</v>
      </c>
      <c r="D604">
        <v>4</v>
      </c>
      <c r="E604">
        <v>42.86</v>
      </c>
      <c r="F604" t="str">
        <f t="shared" si="18"/>
        <v>2024-10</v>
      </c>
      <c r="G604">
        <f t="shared" si="19"/>
        <v>171.44</v>
      </c>
      <c r="H604" s="2">
        <v>45595.857630524908</v>
      </c>
      <c r="I604" t="s">
        <v>33</v>
      </c>
      <c r="J604" t="s">
        <v>1251</v>
      </c>
    </row>
    <row r="605" spans="1:10" x14ac:dyDescent="0.3">
      <c r="A605" t="s">
        <v>1252</v>
      </c>
      <c r="B605" t="s">
        <v>25</v>
      </c>
      <c r="C605" t="s">
        <v>30</v>
      </c>
      <c r="D605">
        <v>1</v>
      </c>
      <c r="E605">
        <v>44.55</v>
      </c>
      <c r="F605" t="str">
        <f t="shared" si="18"/>
        <v>2024-08</v>
      </c>
      <c r="G605">
        <f t="shared" si="19"/>
        <v>44.55</v>
      </c>
      <c r="H605" s="2">
        <v>45517.857630524908</v>
      </c>
      <c r="I605" t="s">
        <v>33</v>
      </c>
      <c r="J605" t="s">
        <v>1253</v>
      </c>
    </row>
    <row r="606" spans="1:10" x14ac:dyDescent="0.3">
      <c r="A606" t="s">
        <v>1254</v>
      </c>
      <c r="B606" t="s">
        <v>20</v>
      </c>
      <c r="C606" t="s">
        <v>30</v>
      </c>
      <c r="D606">
        <v>2</v>
      </c>
      <c r="E606">
        <v>28.65</v>
      </c>
      <c r="F606" t="str">
        <f t="shared" si="18"/>
        <v>2024-05</v>
      </c>
      <c r="G606">
        <f t="shared" si="19"/>
        <v>57.3</v>
      </c>
      <c r="H606" s="2">
        <v>45420.857630524908</v>
      </c>
      <c r="I606" t="s">
        <v>33</v>
      </c>
      <c r="J606" t="s">
        <v>1255</v>
      </c>
    </row>
    <row r="607" spans="1:10" x14ac:dyDescent="0.3">
      <c r="A607" t="s">
        <v>1256</v>
      </c>
      <c r="B607" t="s">
        <v>26</v>
      </c>
      <c r="C607" t="s">
        <v>28</v>
      </c>
      <c r="D607">
        <v>1</v>
      </c>
      <c r="E607">
        <v>39.93</v>
      </c>
      <c r="F607" t="str">
        <f t="shared" si="18"/>
        <v>2024-05</v>
      </c>
      <c r="G607">
        <f t="shared" si="19"/>
        <v>39.93</v>
      </c>
      <c r="H607" s="2">
        <v>45441.857630524908</v>
      </c>
      <c r="I607" t="s">
        <v>34</v>
      </c>
      <c r="J607" t="s">
        <v>1257</v>
      </c>
    </row>
    <row r="608" spans="1:10" x14ac:dyDescent="0.3">
      <c r="A608" t="s">
        <v>1258</v>
      </c>
      <c r="B608" t="s">
        <v>18</v>
      </c>
      <c r="C608" t="s">
        <v>29</v>
      </c>
      <c r="D608">
        <v>2</v>
      </c>
      <c r="E608">
        <v>26.35</v>
      </c>
      <c r="F608" t="str">
        <f t="shared" si="18"/>
        <v>2024-06</v>
      </c>
      <c r="G608">
        <f t="shared" si="19"/>
        <v>52.7</v>
      </c>
      <c r="H608" s="2">
        <v>45465.857630524908</v>
      </c>
      <c r="I608" t="s">
        <v>33</v>
      </c>
      <c r="J608" t="s">
        <v>1259</v>
      </c>
    </row>
    <row r="609" spans="1:10" x14ac:dyDescent="0.3">
      <c r="A609" t="s">
        <v>1260</v>
      </c>
      <c r="B609" t="s">
        <v>21</v>
      </c>
      <c r="C609" t="s">
        <v>30</v>
      </c>
      <c r="D609">
        <v>4</v>
      </c>
      <c r="E609">
        <v>47.16</v>
      </c>
      <c r="F609" t="str">
        <f t="shared" si="18"/>
        <v>2025-01</v>
      </c>
      <c r="G609">
        <f t="shared" si="19"/>
        <v>188.64</v>
      </c>
      <c r="H609" s="2">
        <v>45678.857630524908</v>
      </c>
      <c r="I609" t="s">
        <v>31</v>
      </c>
      <c r="J609" t="s">
        <v>1261</v>
      </c>
    </row>
    <row r="610" spans="1:10" x14ac:dyDescent="0.3">
      <c r="A610" t="s">
        <v>1262</v>
      </c>
      <c r="B610" t="s">
        <v>20</v>
      </c>
      <c r="C610" t="s">
        <v>30</v>
      </c>
      <c r="D610">
        <v>4</v>
      </c>
      <c r="E610">
        <v>38.74</v>
      </c>
      <c r="F610" t="str">
        <f t="shared" si="18"/>
        <v>2024-11</v>
      </c>
      <c r="G610">
        <f t="shared" si="19"/>
        <v>154.96</v>
      </c>
      <c r="H610" s="2">
        <v>45611.857630524908</v>
      </c>
      <c r="I610" t="s">
        <v>32</v>
      </c>
      <c r="J610" t="s">
        <v>1263</v>
      </c>
    </row>
    <row r="611" spans="1:10" x14ac:dyDescent="0.3">
      <c r="A611" t="s">
        <v>1264</v>
      </c>
      <c r="B611" t="s">
        <v>17</v>
      </c>
      <c r="C611" t="s">
        <v>29</v>
      </c>
      <c r="D611">
        <v>1</v>
      </c>
      <c r="E611">
        <v>54.04</v>
      </c>
      <c r="F611" t="str">
        <f t="shared" si="18"/>
        <v>2024-09</v>
      </c>
      <c r="G611">
        <f t="shared" si="19"/>
        <v>54.04</v>
      </c>
      <c r="H611" s="2">
        <v>45559.857630524908</v>
      </c>
      <c r="I611" t="s">
        <v>34</v>
      </c>
      <c r="J611" t="s">
        <v>1265</v>
      </c>
    </row>
    <row r="612" spans="1:10" x14ac:dyDescent="0.3">
      <c r="A612" t="s">
        <v>1266</v>
      </c>
      <c r="B612" t="s">
        <v>17</v>
      </c>
      <c r="C612" t="s">
        <v>29</v>
      </c>
      <c r="D612">
        <v>1</v>
      </c>
      <c r="E612">
        <v>21.23</v>
      </c>
      <c r="F612" t="str">
        <f t="shared" si="18"/>
        <v>2024-10</v>
      </c>
      <c r="G612">
        <f t="shared" si="19"/>
        <v>21.23</v>
      </c>
      <c r="H612" s="2">
        <v>45572.857630524908</v>
      </c>
      <c r="I612" t="s">
        <v>31</v>
      </c>
      <c r="J612" t="s">
        <v>1267</v>
      </c>
    </row>
    <row r="613" spans="1:10" x14ac:dyDescent="0.3">
      <c r="A613" t="s">
        <v>1268</v>
      </c>
      <c r="B613" t="s">
        <v>18</v>
      </c>
      <c r="C613" t="s">
        <v>29</v>
      </c>
      <c r="D613">
        <v>2</v>
      </c>
      <c r="E613">
        <v>55.7</v>
      </c>
      <c r="F613" t="str">
        <f t="shared" si="18"/>
        <v>2024-12</v>
      </c>
      <c r="G613">
        <f t="shared" si="19"/>
        <v>111.4</v>
      </c>
      <c r="H613" s="2">
        <v>45651.857630524908</v>
      </c>
      <c r="I613" t="s">
        <v>31</v>
      </c>
      <c r="J613" t="s">
        <v>1269</v>
      </c>
    </row>
    <row r="614" spans="1:10" x14ac:dyDescent="0.3">
      <c r="A614" t="s">
        <v>1270</v>
      </c>
      <c r="B614" t="s">
        <v>17</v>
      </c>
      <c r="C614" t="s">
        <v>29</v>
      </c>
      <c r="D614">
        <v>4</v>
      </c>
      <c r="E614">
        <v>51.13</v>
      </c>
      <c r="F614" t="str">
        <f t="shared" si="18"/>
        <v>2024-11</v>
      </c>
      <c r="G614">
        <f t="shared" si="19"/>
        <v>204.52</v>
      </c>
      <c r="H614" s="2">
        <v>45597.857630524908</v>
      </c>
      <c r="I614" t="s">
        <v>35</v>
      </c>
      <c r="J614" t="s">
        <v>1271</v>
      </c>
    </row>
    <row r="615" spans="1:10" x14ac:dyDescent="0.3">
      <c r="A615" t="s">
        <v>1272</v>
      </c>
      <c r="B615" t="s">
        <v>20</v>
      </c>
      <c r="C615" t="s">
        <v>30</v>
      </c>
      <c r="D615">
        <v>1</v>
      </c>
      <c r="E615">
        <v>45.6</v>
      </c>
      <c r="F615" t="str">
        <f t="shared" si="18"/>
        <v>2024-05</v>
      </c>
      <c r="G615">
        <f t="shared" si="19"/>
        <v>45.6</v>
      </c>
      <c r="H615" s="2">
        <v>45427.857630524908</v>
      </c>
      <c r="I615" t="s">
        <v>34</v>
      </c>
      <c r="J615" t="s">
        <v>1273</v>
      </c>
    </row>
    <row r="616" spans="1:10" x14ac:dyDescent="0.3">
      <c r="A616" t="s">
        <v>1274</v>
      </c>
      <c r="B616" t="s">
        <v>20</v>
      </c>
      <c r="C616" t="s">
        <v>30</v>
      </c>
      <c r="D616">
        <v>1</v>
      </c>
      <c r="E616">
        <v>14.93</v>
      </c>
      <c r="F616" t="str">
        <f t="shared" si="18"/>
        <v>2025-03</v>
      </c>
      <c r="G616">
        <f t="shared" si="19"/>
        <v>14.93</v>
      </c>
      <c r="H616" s="2">
        <v>45732.857630524908</v>
      </c>
      <c r="I616" t="s">
        <v>32</v>
      </c>
      <c r="J616" t="s">
        <v>1275</v>
      </c>
    </row>
    <row r="617" spans="1:10" x14ac:dyDescent="0.3">
      <c r="A617" t="s">
        <v>1276</v>
      </c>
      <c r="B617" t="s">
        <v>27</v>
      </c>
      <c r="C617" t="s">
        <v>28</v>
      </c>
      <c r="D617">
        <v>4</v>
      </c>
      <c r="E617">
        <v>47.81</v>
      </c>
      <c r="F617" t="str">
        <f t="shared" si="18"/>
        <v>2024-06</v>
      </c>
      <c r="G617">
        <f t="shared" si="19"/>
        <v>191.24</v>
      </c>
      <c r="H617" s="2">
        <v>45471.857630524908</v>
      </c>
      <c r="I617" t="s">
        <v>33</v>
      </c>
      <c r="J617" t="s">
        <v>1277</v>
      </c>
    </row>
    <row r="618" spans="1:10" x14ac:dyDescent="0.3">
      <c r="A618" t="s">
        <v>1278</v>
      </c>
      <c r="B618" t="s">
        <v>26</v>
      </c>
      <c r="C618" t="s">
        <v>28</v>
      </c>
      <c r="D618">
        <v>3</v>
      </c>
      <c r="E618">
        <v>12.32</v>
      </c>
      <c r="F618" t="str">
        <f t="shared" si="18"/>
        <v>2024-10</v>
      </c>
      <c r="G618">
        <f t="shared" si="19"/>
        <v>36.96</v>
      </c>
      <c r="H618" s="2">
        <v>45588.857630524908</v>
      </c>
      <c r="I618" t="s">
        <v>35</v>
      </c>
      <c r="J618" t="s">
        <v>1279</v>
      </c>
    </row>
    <row r="619" spans="1:10" x14ac:dyDescent="0.3">
      <c r="A619" t="s">
        <v>1280</v>
      </c>
      <c r="B619" t="s">
        <v>27</v>
      </c>
      <c r="C619" t="s">
        <v>28</v>
      </c>
      <c r="D619">
        <v>5</v>
      </c>
      <c r="E619">
        <v>52.28</v>
      </c>
      <c r="F619" t="str">
        <f t="shared" si="18"/>
        <v>2024-08</v>
      </c>
      <c r="G619">
        <f t="shared" si="19"/>
        <v>261.39999999999998</v>
      </c>
      <c r="H619" s="2">
        <v>45508.857630524908</v>
      </c>
      <c r="I619" t="s">
        <v>34</v>
      </c>
      <c r="J619" t="s">
        <v>1281</v>
      </c>
    </row>
    <row r="620" spans="1:10" x14ac:dyDescent="0.3">
      <c r="A620" t="s">
        <v>1282</v>
      </c>
      <c r="B620" t="s">
        <v>19</v>
      </c>
      <c r="C620" t="s">
        <v>28</v>
      </c>
      <c r="D620">
        <v>5</v>
      </c>
      <c r="E620">
        <v>35.99</v>
      </c>
      <c r="F620" t="str">
        <f t="shared" si="18"/>
        <v>2024-05</v>
      </c>
      <c r="G620">
        <f t="shared" si="19"/>
        <v>179.95000000000002</v>
      </c>
      <c r="H620" s="2">
        <v>45437.857630524908</v>
      </c>
      <c r="I620" t="s">
        <v>34</v>
      </c>
      <c r="J620" t="s">
        <v>1283</v>
      </c>
    </row>
    <row r="621" spans="1:10" x14ac:dyDescent="0.3">
      <c r="A621" t="s">
        <v>1284</v>
      </c>
      <c r="B621" t="s">
        <v>17</v>
      </c>
      <c r="C621" t="s">
        <v>29</v>
      </c>
      <c r="D621">
        <v>2</v>
      </c>
      <c r="E621">
        <v>46.09</v>
      </c>
      <c r="F621" t="str">
        <f t="shared" si="18"/>
        <v>2024-08</v>
      </c>
      <c r="G621">
        <f t="shared" si="19"/>
        <v>92.18</v>
      </c>
      <c r="H621" s="2">
        <v>45530.857630524908</v>
      </c>
      <c r="I621" t="s">
        <v>34</v>
      </c>
      <c r="J621" t="s">
        <v>1285</v>
      </c>
    </row>
    <row r="622" spans="1:10" x14ac:dyDescent="0.3">
      <c r="A622" t="s">
        <v>1286</v>
      </c>
      <c r="B622" t="s">
        <v>23</v>
      </c>
      <c r="C622" t="s">
        <v>28</v>
      </c>
      <c r="D622">
        <v>4</v>
      </c>
      <c r="E622">
        <v>39.72</v>
      </c>
      <c r="F622" t="str">
        <f t="shared" si="18"/>
        <v>2024-10</v>
      </c>
      <c r="G622">
        <f t="shared" si="19"/>
        <v>158.88</v>
      </c>
      <c r="H622" s="2">
        <v>45595.857630524908</v>
      </c>
      <c r="I622" t="s">
        <v>34</v>
      </c>
      <c r="J622" t="s">
        <v>1287</v>
      </c>
    </row>
    <row r="623" spans="1:10" x14ac:dyDescent="0.3">
      <c r="A623" t="s">
        <v>1288</v>
      </c>
      <c r="B623" t="s">
        <v>20</v>
      </c>
      <c r="C623" t="s">
        <v>30</v>
      </c>
      <c r="D623">
        <v>3</v>
      </c>
      <c r="E623">
        <v>38.22</v>
      </c>
      <c r="F623" t="str">
        <f t="shared" si="18"/>
        <v>2024-09</v>
      </c>
      <c r="G623">
        <f t="shared" si="19"/>
        <v>114.66</v>
      </c>
      <c r="H623" s="2">
        <v>45555.857630524908</v>
      </c>
      <c r="I623" t="s">
        <v>35</v>
      </c>
      <c r="J623" t="s">
        <v>1289</v>
      </c>
    </row>
    <row r="624" spans="1:10" x14ac:dyDescent="0.3">
      <c r="A624" t="s">
        <v>1290</v>
      </c>
      <c r="B624" t="s">
        <v>18</v>
      </c>
      <c r="C624" t="s">
        <v>29</v>
      </c>
      <c r="D624">
        <v>2</v>
      </c>
      <c r="E624">
        <v>47.62</v>
      </c>
      <c r="F624" t="str">
        <f t="shared" si="18"/>
        <v>2024-10</v>
      </c>
      <c r="G624">
        <f t="shared" si="19"/>
        <v>95.24</v>
      </c>
      <c r="H624" s="2">
        <v>45567.857630524908</v>
      </c>
      <c r="I624" t="s">
        <v>33</v>
      </c>
      <c r="J624" t="s">
        <v>1291</v>
      </c>
    </row>
    <row r="625" spans="1:10" x14ac:dyDescent="0.3">
      <c r="A625" t="s">
        <v>1292</v>
      </c>
      <c r="B625" t="s">
        <v>24</v>
      </c>
      <c r="C625" t="s">
        <v>28</v>
      </c>
      <c r="D625">
        <v>2</v>
      </c>
      <c r="E625">
        <v>37.53</v>
      </c>
      <c r="F625" t="str">
        <f t="shared" si="18"/>
        <v>2024-11</v>
      </c>
      <c r="G625">
        <f t="shared" si="19"/>
        <v>75.06</v>
      </c>
      <c r="H625" s="2">
        <v>45622.857630524908</v>
      </c>
      <c r="I625" t="s">
        <v>31</v>
      </c>
      <c r="J625" t="s">
        <v>1293</v>
      </c>
    </row>
    <row r="626" spans="1:10" x14ac:dyDescent="0.3">
      <c r="A626" t="s">
        <v>1294</v>
      </c>
      <c r="B626" t="s">
        <v>19</v>
      </c>
      <c r="C626" t="s">
        <v>28</v>
      </c>
      <c r="D626">
        <v>3</v>
      </c>
      <c r="E626">
        <v>10.32</v>
      </c>
      <c r="F626" t="str">
        <f t="shared" si="18"/>
        <v>2024-09</v>
      </c>
      <c r="G626">
        <f t="shared" si="19"/>
        <v>30.96</v>
      </c>
      <c r="H626" s="2">
        <v>45545.857630524908</v>
      </c>
      <c r="I626" t="s">
        <v>34</v>
      </c>
      <c r="J626" t="s">
        <v>1295</v>
      </c>
    </row>
    <row r="627" spans="1:10" x14ac:dyDescent="0.3">
      <c r="A627" t="s">
        <v>1296</v>
      </c>
      <c r="B627" t="s">
        <v>16</v>
      </c>
      <c r="C627" t="s">
        <v>29</v>
      </c>
      <c r="D627">
        <v>3</v>
      </c>
      <c r="E627">
        <v>17.02</v>
      </c>
      <c r="F627" t="str">
        <f t="shared" si="18"/>
        <v>2024-10</v>
      </c>
      <c r="G627">
        <f t="shared" si="19"/>
        <v>51.06</v>
      </c>
      <c r="H627" s="2">
        <v>45572.857630524908</v>
      </c>
      <c r="I627" t="s">
        <v>35</v>
      </c>
      <c r="J627" t="s">
        <v>1297</v>
      </c>
    </row>
    <row r="628" spans="1:10" x14ac:dyDescent="0.3">
      <c r="A628" t="s">
        <v>1298</v>
      </c>
      <c r="B628" t="s">
        <v>26</v>
      </c>
      <c r="C628" t="s">
        <v>28</v>
      </c>
      <c r="D628">
        <v>3</v>
      </c>
      <c r="E628">
        <v>51.84</v>
      </c>
      <c r="F628" t="str">
        <f t="shared" si="18"/>
        <v>2024-09</v>
      </c>
      <c r="G628">
        <f t="shared" si="19"/>
        <v>155.52000000000001</v>
      </c>
      <c r="H628" s="2">
        <v>45556.857630524908</v>
      </c>
      <c r="I628" t="s">
        <v>33</v>
      </c>
      <c r="J628" t="s">
        <v>1299</v>
      </c>
    </row>
    <row r="629" spans="1:10" x14ac:dyDescent="0.3">
      <c r="A629" t="s">
        <v>1300</v>
      </c>
      <c r="B629" t="s">
        <v>18</v>
      </c>
      <c r="C629" t="s">
        <v>29</v>
      </c>
      <c r="D629">
        <v>2</v>
      </c>
      <c r="E629">
        <v>26.67</v>
      </c>
      <c r="F629" t="str">
        <f t="shared" si="18"/>
        <v>2025-01</v>
      </c>
      <c r="G629">
        <f t="shared" si="19"/>
        <v>53.34</v>
      </c>
      <c r="H629" s="2">
        <v>45671.857630524908</v>
      </c>
      <c r="I629" t="s">
        <v>32</v>
      </c>
      <c r="J629" t="s">
        <v>1301</v>
      </c>
    </row>
    <row r="630" spans="1:10" x14ac:dyDescent="0.3">
      <c r="A630" t="s">
        <v>1302</v>
      </c>
      <c r="B630" t="s">
        <v>26</v>
      </c>
      <c r="C630" t="s">
        <v>28</v>
      </c>
      <c r="D630">
        <v>2</v>
      </c>
      <c r="E630">
        <v>51.61</v>
      </c>
      <c r="F630" t="str">
        <f t="shared" si="18"/>
        <v>2024-06</v>
      </c>
      <c r="G630">
        <f t="shared" si="19"/>
        <v>103.22</v>
      </c>
      <c r="H630" s="2">
        <v>45456.857630524908</v>
      </c>
      <c r="I630" t="s">
        <v>33</v>
      </c>
      <c r="J630" t="s">
        <v>1303</v>
      </c>
    </row>
    <row r="631" spans="1:10" x14ac:dyDescent="0.3">
      <c r="A631" t="s">
        <v>1304</v>
      </c>
      <c r="B631" t="s">
        <v>24</v>
      </c>
      <c r="C631" t="s">
        <v>28</v>
      </c>
      <c r="D631">
        <v>5</v>
      </c>
      <c r="E631">
        <v>15.21</v>
      </c>
      <c r="F631" t="str">
        <f t="shared" si="18"/>
        <v>2024-08</v>
      </c>
      <c r="G631">
        <f t="shared" si="19"/>
        <v>76.050000000000011</v>
      </c>
      <c r="H631" s="2">
        <v>45517.857630524908</v>
      </c>
      <c r="I631" t="s">
        <v>33</v>
      </c>
      <c r="J631" t="s">
        <v>1305</v>
      </c>
    </row>
    <row r="632" spans="1:10" x14ac:dyDescent="0.3">
      <c r="A632" t="s">
        <v>1306</v>
      </c>
      <c r="B632" t="s">
        <v>21</v>
      </c>
      <c r="C632" t="s">
        <v>30</v>
      </c>
      <c r="D632">
        <v>3</v>
      </c>
      <c r="E632">
        <v>24.81</v>
      </c>
      <c r="F632" t="str">
        <f t="shared" si="18"/>
        <v>2025-01</v>
      </c>
      <c r="G632">
        <f t="shared" si="19"/>
        <v>74.429999999999993</v>
      </c>
      <c r="H632" s="2">
        <v>45687.857630524908</v>
      </c>
      <c r="I632" t="s">
        <v>32</v>
      </c>
      <c r="J632" t="s">
        <v>1307</v>
      </c>
    </row>
    <row r="633" spans="1:10" x14ac:dyDescent="0.3">
      <c r="A633" t="s">
        <v>1308</v>
      </c>
      <c r="B633" t="s">
        <v>19</v>
      </c>
      <c r="C633" t="s">
        <v>28</v>
      </c>
      <c r="D633">
        <v>1</v>
      </c>
      <c r="E633">
        <v>30.81</v>
      </c>
      <c r="F633" t="str">
        <f t="shared" si="18"/>
        <v>2024-09</v>
      </c>
      <c r="G633">
        <f t="shared" si="19"/>
        <v>30.81</v>
      </c>
      <c r="H633" s="2">
        <v>45560.857630524908</v>
      </c>
      <c r="I633" t="s">
        <v>31</v>
      </c>
      <c r="J633" t="s">
        <v>1309</v>
      </c>
    </row>
    <row r="634" spans="1:10" x14ac:dyDescent="0.3">
      <c r="A634" t="s">
        <v>1310</v>
      </c>
      <c r="B634" t="s">
        <v>27</v>
      </c>
      <c r="C634" t="s">
        <v>28</v>
      </c>
      <c r="D634">
        <v>5</v>
      </c>
      <c r="E634">
        <v>33.880000000000003</v>
      </c>
      <c r="F634" t="str">
        <f t="shared" si="18"/>
        <v>2024-05</v>
      </c>
      <c r="G634">
        <f t="shared" si="19"/>
        <v>169.4</v>
      </c>
      <c r="H634" s="2">
        <v>45420.857630524908</v>
      </c>
      <c r="I634" t="s">
        <v>31</v>
      </c>
      <c r="J634" t="s">
        <v>1311</v>
      </c>
    </row>
    <row r="635" spans="1:10" x14ac:dyDescent="0.3">
      <c r="A635" t="s">
        <v>1312</v>
      </c>
      <c r="B635" t="s">
        <v>16</v>
      </c>
      <c r="C635" t="s">
        <v>29</v>
      </c>
      <c r="D635">
        <v>1</v>
      </c>
      <c r="E635">
        <v>24.09</v>
      </c>
      <c r="F635" t="str">
        <f t="shared" si="18"/>
        <v>2025-01</v>
      </c>
      <c r="G635">
        <f t="shared" si="19"/>
        <v>24.09</v>
      </c>
      <c r="H635" s="2">
        <v>45680.857630524908</v>
      </c>
      <c r="I635" t="s">
        <v>32</v>
      </c>
      <c r="J635" t="s">
        <v>1313</v>
      </c>
    </row>
    <row r="636" spans="1:10" x14ac:dyDescent="0.3">
      <c r="A636" t="s">
        <v>1314</v>
      </c>
      <c r="B636" t="s">
        <v>18</v>
      </c>
      <c r="C636" t="s">
        <v>29</v>
      </c>
      <c r="D636">
        <v>2</v>
      </c>
      <c r="E636">
        <v>34.39</v>
      </c>
      <c r="F636" t="str">
        <f t="shared" si="18"/>
        <v>2024-08</v>
      </c>
      <c r="G636">
        <f t="shared" si="19"/>
        <v>68.78</v>
      </c>
      <c r="H636" s="2">
        <v>45511.857630524908</v>
      </c>
      <c r="I636" t="s">
        <v>35</v>
      </c>
      <c r="J636" t="s">
        <v>1315</v>
      </c>
    </row>
    <row r="637" spans="1:10" x14ac:dyDescent="0.3">
      <c r="A637" t="s">
        <v>1316</v>
      </c>
      <c r="B637" t="s">
        <v>26</v>
      </c>
      <c r="C637" t="s">
        <v>28</v>
      </c>
      <c r="D637">
        <v>1</v>
      </c>
      <c r="E637">
        <v>42.71</v>
      </c>
      <c r="F637" t="str">
        <f t="shared" si="18"/>
        <v>2025-03</v>
      </c>
      <c r="G637">
        <f t="shared" si="19"/>
        <v>42.71</v>
      </c>
      <c r="H637" s="2">
        <v>45738.857630524908</v>
      </c>
      <c r="I637" t="s">
        <v>33</v>
      </c>
      <c r="J637" t="s">
        <v>1317</v>
      </c>
    </row>
    <row r="638" spans="1:10" x14ac:dyDescent="0.3">
      <c r="A638" t="s">
        <v>1318</v>
      </c>
      <c r="B638" t="s">
        <v>26</v>
      </c>
      <c r="C638" t="s">
        <v>28</v>
      </c>
      <c r="D638">
        <v>5</v>
      </c>
      <c r="E638">
        <v>11.12</v>
      </c>
      <c r="F638" t="str">
        <f t="shared" si="18"/>
        <v>2024-10</v>
      </c>
      <c r="G638">
        <f t="shared" si="19"/>
        <v>55.599999999999994</v>
      </c>
      <c r="H638" s="2">
        <v>45581.857630524908</v>
      </c>
      <c r="I638" t="s">
        <v>35</v>
      </c>
      <c r="J638" t="s">
        <v>1319</v>
      </c>
    </row>
    <row r="639" spans="1:10" x14ac:dyDescent="0.3">
      <c r="A639" t="s">
        <v>1320</v>
      </c>
      <c r="B639" t="s">
        <v>20</v>
      </c>
      <c r="C639" t="s">
        <v>30</v>
      </c>
      <c r="D639">
        <v>2</v>
      </c>
      <c r="E639">
        <v>56.06</v>
      </c>
      <c r="F639" t="str">
        <f t="shared" si="18"/>
        <v>2025-01</v>
      </c>
      <c r="G639">
        <f t="shared" si="19"/>
        <v>112.12</v>
      </c>
      <c r="H639" s="2">
        <v>45658.857630524908</v>
      </c>
      <c r="I639" t="s">
        <v>32</v>
      </c>
      <c r="J639" t="s">
        <v>1321</v>
      </c>
    </row>
    <row r="640" spans="1:10" x14ac:dyDescent="0.3">
      <c r="A640" t="s">
        <v>1322</v>
      </c>
      <c r="B640" t="s">
        <v>27</v>
      </c>
      <c r="C640" t="s">
        <v>28</v>
      </c>
      <c r="D640">
        <v>1</v>
      </c>
      <c r="E640">
        <v>50.32</v>
      </c>
      <c r="F640" t="str">
        <f t="shared" si="18"/>
        <v>2024-12</v>
      </c>
      <c r="G640">
        <f t="shared" si="19"/>
        <v>50.32</v>
      </c>
      <c r="H640" s="2">
        <v>45629.857630524908</v>
      </c>
      <c r="I640" t="s">
        <v>32</v>
      </c>
      <c r="J640" t="s">
        <v>1323</v>
      </c>
    </row>
    <row r="641" spans="1:10" x14ac:dyDescent="0.3">
      <c r="A641" t="s">
        <v>1324</v>
      </c>
      <c r="B641" t="s">
        <v>18</v>
      </c>
      <c r="C641" t="s">
        <v>29</v>
      </c>
      <c r="D641">
        <v>5</v>
      </c>
      <c r="E641">
        <v>23.83</v>
      </c>
      <c r="F641" t="str">
        <f t="shared" si="18"/>
        <v>2024-09</v>
      </c>
      <c r="G641">
        <f t="shared" si="19"/>
        <v>119.14999999999999</v>
      </c>
      <c r="H641" s="2">
        <v>45546.857630524908</v>
      </c>
      <c r="I641" t="s">
        <v>34</v>
      </c>
      <c r="J641" t="s">
        <v>1325</v>
      </c>
    </row>
    <row r="642" spans="1:10" x14ac:dyDescent="0.3">
      <c r="A642" t="s">
        <v>1326</v>
      </c>
      <c r="B642" t="s">
        <v>23</v>
      </c>
      <c r="C642" t="s">
        <v>28</v>
      </c>
      <c r="D642">
        <v>1</v>
      </c>
      <c r="E642">
        <v>23.78</v>
      </c>
      <c r="F642" t="str">
        <f t="shared" si="18"/>
        <v>2024-11</v>
      </c>
      <c r="G642">
        <f t="shared" si="19"/>
        <v>23.78</v>
      </c>
      <c r="H642" s="2">
        <v>45602.857630524908</v>
      </c>
      <c r="I642" t="s">
        <v>35</v>
      </c>
      <c r="J642" t="s">
        <v>1327</v>
      </c>
    </row>
    <row r="643" spans="1:10" x14ac:dyDescent="0.3">
      <c r="A643" t="s">
        <v>1328</v>
      </c>
      <c r="B643" t="s">
        <v>27</v>
      </c>
      <c r="C643" t="s">
        <v>28</v>
      </c>
      <c r="D643">
        <v>2</v>
      </c>
      <c r="E643">
        <v>38.96</v>
      </c>
      <c r="F643" t="str">
        <f t="shared" ref="F643:F706" si="20">TEXT(H643, "yyyy-mm")</f>
        <v>2024-07</v>
      </c>
      <c r="G643">
        <f t="shared" ref="G643:G706" si="21">D643*E643</f>
        <v>77.92</v>
      </c>
      <c r="H643" s="2">
        <v>45495.857630524908</v>
      </c>
      <c r="I643" t="s">
        <v>34</v>
      </c>
      <c r="J643" t="s">
        <v>1329</v>
      </c>
    </row>
    <row r="644" spans="1:10" x14ac:dyDescent="0.3">
      <c r="A644" t="s">
        <v>1330</v>
      </c>
      <c r="B644" t="s">
        <v>25</v>
      </c>
      <c r="C644" t="s">
        <v>30</v>
      </c>
      <c r="D644">
        <v>3</v>
      </c>
      <c r="E644">
        <v>52.22</v>
      </c>
      <c r="F644" t="str">
        <f t="shared" si="20"/>
        <v>2024-10</v>
      </c>
      <c r="G644">
        <f t="shared" si="21"/>
        <v>156.66</v>
      </c>
      <c r="H644" s="2">
        <v>45585.857630524908</v>
      </c>
      <c r="I644" t="s">
        <v>33</v>
      </c>
      <c r="J644" t="s">
        <v>1331</v>
      </c>
    </row>
    <row r="645" spans="1:10" x14ac:dyDescent="0.3">
      <c r="A645" t="s">
        <v>1332</v>
      </c>
      <c r="B645" t="s">
        <v>23</v>
      </c>
      <c r="C645" t="s">
        <v>28</v>
      </c>
      <c r="D645">
        <v>2</v>
      </c>
      <c r="E645">
        <v>40.5</v>
      </c>
      <c r="F645" t="str">
        <f t="shared" si="20"/>
        <v>2025-03</v>
      </c>
      <c r="G645">
        <f t="shared" si="21"/>
        <v>81</v>
      </c>
      <c r="H645" s="2">
        <v>45746.857630524908</v>
      </c>
      <c r="I645" t="s">
        <v>31</v>
      </c>
      <c r="J645" t="s">
        <v>1333</v>
      </c>
    </row>
    <row r="646" spans="1:10" x14ac:dyDescent="0.3">
      <c r="A646" t="s">
        <v>1334</v>
      </c>
      <c r="B646" t="s">
        <v>24</v>
      </c>
      <c r="C646" t="s">
        <v>28</v>
      </c>
      <c r="D646">
        <v>5</v>
      </c>
      <c r="E646">
        <v>14.93</v>
      </c>
      <c r="F646" t="str">
        <f t="shared" si="20"/>
        <v>2024-04</v>
      </c>
      <c r="G646">
        <f t="shared" si="21"/>
        <v>74.650000000000006</v>
      </c>
      <c r="H646" s="2">
        <v>45387.857630524908</v>
      </c>
      <c r="I646" t="s">
        <v>34</v>
      </c>
      <c r="J646" t="s">
        <v>1335</v>
      </c>
    </row>
    <row r="647" spans="1:10" x14ac:dyDescent="0.3">
      <c r="A647" t="s">
        <v>1336</v>
      </c>
      <c r="B647" t="s">
        <v>23</v>
      </c>
      <c r="C647" t="s">
        <v>28</v>
      </c>
      <c r="D647">
        <v>3</v>
      </c>
      <c r="E647">
        <v>14.42</v>
      </c>
      <c r="F647" t="str">
        <f t="shared" si="20"/>
        <v>2024-04</v>
      </c>
      <c r="G647">
        <f t="shared" si="21"/>
        <v>43.26</v>
      </c>
      <c r="H647" s="2">
        <v>45386.857630524908</v>
      </c>
      <c r="I647" t="s">
        <v>31</v>
      </c>
      <c r="J647" t="s">
        <v>1337</v>
      </c>
    </row>
    <row r="648" spans="1:10" x14ac:dyDescent="0.3">
      <c r="A648" t="s">
        <v>1338</v>
      </c>
      <c r="B648" t="s">
        <v>16</v>
      </c>
      <c r="C648" t="s">
        <v>29</v>
      </c>
      <c r="D648">
        <v>4</v>
      </c>
      <c r="E648">
        <v>59.44</v>
      </c>
      <c r="F648" t="str">
        <f t="shared" si="20"/>
        <v>2024-06</v>
      </c>
      <c r="G648">
        <f t="shared" si="21"/>
        <v>237.76</v>
      </c>
      <c r="H648" s="2">
        <v>45450.857630524908</v>
      </c>
      <c r="I648" t="s">
        <v>32</v>
      </c>
      <c r="J648" t="s">
        <v>1339</v>
      </c>
    </row>
    <row r="649" spans="1:10" x14ac:dyDescent="0.3">
      <c r="A649" t="s">
        <v>1340</v>
      </c>
      <c r="B649" t="s">
        <v>25</v>
      </c>
      <c r="C649" t="s">
        <v>30</v>
      </c>
      <c r="D649">
        <v>3</v>
      </c>
      <c r="E649">
        <v>13.87</v>
      </c>
      <c r="F649" t="str">
        <f t="shared" si="20"/>
        <v>2025-01</v>
      </c>
      <c r="G649">
        <f t="shared" si="21"/>
        <v>41.61</v>
      </c>
      <c r="H649" s="2">
        <v>45662.857630524908</v>
      </c>
      <c r="I649" t="s">
        <v>34</v>
      </c>
      <c r="J649" t="s">
        <v>1341</v>
      </c>
    </row>
    <row r="650" spans="1:10" x14ac:dyDescent="0.3">
      <c r="A650" t="s">
        <v>1342</v>
      </c>
      <c r="B650" t="s">
        <v>18</v>
      </c>
      <c r="C650" t="s">
        <v>29</v>
      </c>
      <c r="D650">
        <v>2</v>
      </c>
      <c r="E650">
        <v>31.55</v>
      </c>
      <c r="F650" t="str">
        <f t="shared" si="20"/>
        <v>2024-11</v>
      </c>
      <c r="G650">
        <f t="shared" si="21"/>
        <v>63.1</v>
      </c>
      <c r="H650" s="2">
        <v>45623.857630524908</v>
      </c>
      <c r="I650" t="s">
        <v>32</v>
      </c>
      <c r="J650" t="s">
        <v>1343</v>
      </c>
    </row>
    <row r="651" spans="1:10" x14ac:dyDescent="0.3">
      <c r="A651" t="s">
        <v>1344</v>
      </c>
      <c r="B651" t="s">
        <v>16</v>
      </c>
      <c r="C651" t="s">
        <v>29</v>
      </c>
      <c r="D651">
        <v>5</v>
      </c>
      <c r="E651">
        <v>46.02</v>
      </c>
      <c r="F651" t="str">
        <f t="shared" si="20"/>
        <v>2024-07</v>
      </c>
      <c r="G651">
        <f t="shared" si="21"/>
        <v>230.10000000000002</v>
      </c>
      <c r="H651" s="2">
        <v>45503.857630524908</v>
      </c>
      <c r="I651" t="s">
        <v>34</v>
      </c>
      <c r="J651" t="s">
        <v>1345</v>
      </c>
    </row>
    <row r="652" spans="1:10" x14ac:dyDescent="0.3">
      <c r="A652" t="s">
        <v>1346</v>
      </c>
      <c r="B652" t="s">
        <v>16</v>
      </c>
      <c r="C652" t="s">
        <v>29</v>
      </c>
      <c r="D652">
        <v>4</v>
      </c>
      <c r="E652">
        <v>19.87</v>
      </c>
      <c r="F652" t="str">
        <f t="shared" si="20"/>
        <v>2024-04</v>
      </c>
      <c r="G652">
        <f t="shared" si="21"/>
        <v>79.48</v>
      </c>
      <c r="H652" s="2">
        <v>45401.857630524908</v>
      </c>
      <c r="I652" t="s">
        <v>33</v>
      </c>
      <c r="J652" t="s">
        <v>1347</v>
      </c>
    </row>
    <row r="653" spans="1:10" x14ac:dyDescent="0.3">
      <c r="A653" t="s">
        <v>1348</v>
      </c>
      <c r="B653" t="s">
        <v>20</v>
      </c>
      <c r="C653" t="s">
        <v>30</v>
      </c>
      <c r="D653">
        <v>2</v>
      </c>
      <c r="E653">
        <v>15.88</v>
      </c>
      <c r="F653" t="str">
        <f t="shared" si="20"/>
        <v>2024-09</v>
      </c>
      <c r="G653">
        <f t="shared" si="21"/>
        <v>31.76</v>
      </c>
      <c r="H653" s="2">
        <v>45544.857630524908</v>
      </c>
      <c r="I653" t="s">
        <v>31</v>
      </c>
      <c r="J653" t="s">
        <v>1349</v>
      </c>
    </row>
    <row r="654" spans="1:10" x14ac:dyDescent="0.3">
      <c r="A654" t="s">
        <v>1350</v>
      </c>
      <c r="B654" t="s">
        <v>23</v>
      </c>
      <c r="C654" t="s">
        <v>28</v>
      </c>
      <c r="D654">
        <v>3</v>
      </c>
      <c r="E654">
        <v>34.67</v>
      </c>
      <c r="F654" t="str">
        <f t="shared" si="20"/>
        <v>2025-02</v>
      </c>
      <c r="G654">
        <f t="shared" si="21"/>
        <v>104.01</v>
      </c>
      <c r="H654" s="2">
        <v>45712.857630524908</v>
      </c>
      <c r="I654" t="s">
        <v>32</v>
      </c>
      <c r="J654" t="s">
        <v>1351</v>
      </c>
    </row>
    <row r="655" spans="1:10" x14ac:dyDescent="0.3">
      <c r="A655" t="s">
        <v>1352</v>
      </c>
      <c r="B655" t="s">
        <v>19</v>
      </c>
      <c r="C655" t="s">
        <v>28</v>
      </c>
      <c r="D655">
        <v>3</v>
      </c>
      <c r="E655">
        <v>46.38</v>
      </c>
      <c r="F655" t="str">
        <f t="shared" si="20"/>
        <v>2024-10</v>
      </c>
      <c r="G655">
        <f t="shared" si="21"/>
        <v>139.14000000000001</v>
      </c>
      <c r="H655" s="2">
        <v>45595.857630524908</v>
      </c>
      <c r="I655" t="s">
        <v>32</v>
      </c>
      <c r="J655" t="s">
        <v>1353</v>
      </c>
    </row>
    <row r="656" spans="1:10" x14ac:dyDescent="0.3">
      <c r="A656" t="s">
        <v>1354</v>
      </c>
      <c r="B656" t="s">
        <v>16</v>
      </c>
      <c r="C656" t="s">
        <v>29</v>
      </c>
      <c r="D656">
        <v>1</v>
      </c>
      <c r="E656">
        <v>38.65</v>
      </c>
      <c r="F656" t="str">
        <f t="shared" si="20"/>
        <v>2024-08</v>
      </c>
      <c r="G656">
        <f t="shared" si="21"/>
        <v>38.65</v>
      </c>
      <c r="H656" s="2">
        <v>45528.857630524908</v>
      </c>
      <c r="I656" t="s">
        <v>35</v>
      </c>
      <c r="J656" t="s">
        <v>1355</v>
      </c>
    </row>
    <row r="657" spans="1:10" x14ac:dyDescent="0.3">
      <c r="A657" t="s">
        <v>1356</v>
      </c>
      <c r="B657" t="s">
        <v>26</v>
      </c>
      <c r="C657" t="s">
        <v>28</v>
      </c>
      <c r="D657">
        <v>1</v>
      </c>
      <c r="E657">
        <v>27</v>
      </c>
      <c r="F657" t="str">
        <f t="shared" si="20"/>
        <v>2024-08</v>
      </c>
      <c r="G657">
        <f t="shared" si="21"/>
        <v>27</v>
      </c>
      <c r="H657" s="2">
        <v>45515.857630524908</v>
      </c>
      <c r="I657" t="s">
        <v>35</v>
      </c>
      <c r="J657" t="s">
        <v>1357</v>
      </c>
    </row>
    <row r="658" spans="1:10" x14ac:dyDescent="0.3">
      <c r="A658" t="s">
        <v>1358</v>
      </c>
      <c r="B658" t="s">
        <v>17</v>
      </c>
      <c r="C658" t="s">
        <v>29</v>
      </c>
      <c r="D658">
        <v>5</v>
      </c>
      <c r="E658">
        <v>31.97</v>
      </c>
      <c r="F658" t="str">
        <f t="shared" si="20"/>
        <v>2025-03</v>
      </c>
      <c r="G658">
        <f t="shared" si="21"/>
        <v>159.85</v>
      </c>
      <c r="H658" s="2">
        <v>45728.857630524908</v>
      </c>
      <c r="I658" t="s">
        <v>34</v>
      </c>
      <c r="J658" t="s">
        <v>1359</v>
      </c>
    </row>
    <row r="659" spans="1:10" x14ac:dyDescent="0.3">
      <c r="A659" t="s">
        <v>1360</v>
      </c>
      <c r="B659" t="s">
        <v>21</v>
      </c>
      <c r="C659" t="s">
        <v>30</v>
      </c>
      <c r="D659">
        <v>2</v>
      </c>
      <c r="E659">
        <v>26.79</v>
      </c>
      <c r="F659" t="str">
        <f t="shared" si="20"/>
        <v>2024-05</v>
      </c>
      <c r="G659">
        <f t="shared" si="21"/>
        <v>53.58</v>
      </c>
      <c r="H659" s="2">
        <v>45442.857630524908</v>
      </c>
      <c r="I659" t="s">
        <v>31</v>
      </c>
      <c r="J659" t="s">
        <v>1361</v>
      </c>
    </row>
    <row r="660" spans="1:10" x14ac:dyDescent="0.3">
      <c r="A660" t="s">
        <v>1362</v>
      </c>
      <c r="B660" t="s">
        <v>25</v>
      </c>
      <c r="C660" t="s">
        <v>30</v>
      </c>
      <c r="D660">
        <v>3</v>
      </c>
      <c r="E660">
        <v>58.89</v>
      </c>
      <c r="F660" t="str">
        <f t="shared" si="20"/>
        <v>2024-10</v>
      </c>
      <c r="G660">
        <f t="shared" si="21"/>
        <v>176.67000000000002</v>
      </c>
      <c r="H660" s="2">
        <v>45594.857630524908</v>
      </c>
      <c r="I660" t="s">
        <v>31</v>
      </c>
      <c r="J660" t="s">
        <v>1363</v>
      </c>
    </row>
    <row r="661" spans="1:10" x14ac:dyDescent="0.3">
      <c r="A661" t="s">
        <v>1364</v>
      </c>
      <c r="B661" t="s">
        <v>19</v>
      </c>
      <c r="C661" t="s">
        <v>28</v>
      </c>
      <c r="D661">
        <v>4</v>
      </c>
      <c r="E661">
        <v>21.78</v>
      </c>
      <c r="F661" t="str">
        <f t="shared" si="20"/>
        <v>2025-03</v>
      </c>
      <c r="G661">
        <f t="shared" si="21"/>
        <v>87.12</v>
      </c>
      <c r="H661" s="2">
        <v>45731.857630524908</v>
      </c>
      <c r="I661" t="s">
        <v>34</v>
      </c>
      <c r="J661" t="s">
        <v>1365</v>
      </c>
    </row>
    <row r="662" spans="1:10" x14ac:dyDescent="0.3">
      <c r="A662" t="s">
        <v>1366</v>
      </c>
      <c r="B662" t="s">
        <v>27</v>
      </c>
      <c r="C662" t="s">
        <v>28</v>
      </c>
      <c r="D662">
        <v>1</v>
      </c>
      <c r="E662">
        <v>36.57</v>
      </c>
      <c r="F662" t="str">
        <f t="shared" si="20"/>
        <v>2024-06</v>
      </c>
      <c r="G662">
        <f t="shared" si="21"/>
        <v>36.57</v>
      </c>
      <c r="H662" s="2">
        <v>45450.857630524908</v>
      </c>
      <c r="I662" t="s">
        <v>33</v>
      </c>
      <c r="J662" t="s">
        <v>1367</v>
      </c>
    </row>
    <row r="663" spans="1:10" x14ac:dyDescent="0.3">
      <c r="A663" t="s">
        <v>1368</v>
      </c>
      <c r="B663" t="s">
        <v>27</v>
      </c>
      <c r="C663" t="s">
        <v>28</v>
      </c>
      <c r="D663">
        <v>2</v>
      </c>
      <c r="E663">
        <v>13.24</v>
      </c>
      <c r="F663" t="str">
        <f t="shared" si="20"/>
        <v>2024-11</v>
      </c>
      <c r="G663">
        <f t="shared" si="21"/>
        <v>26.48</v>
      </c>
      <c r="H663" s="2">
        <v>45599.857630524908</v>
      </c>
      <c r="I663" t="s">
        <v>35</v>
      </c>
      <c r="J663" t="s">
        <v>1369</v>
      </c>
    </row>
    <row r="664" spans="1:10" x14ac:dyDescent="0.3">
      <c r="A664" t="s">
        <v>1370</v>
      </c>
      <c r="B664" t="s">
        <v>16</v>
      </c>
      <c r="C664" t="s">
        <v>29</v>
      </c>
      <c r="D664">
        <v>1</v>
      </c>
      <c r="E664">
        <v>13.17</v>
      </c>
      <c r="F664" t="str">
        <f t="shared" si="20"/>
        <v>2024-09</v>
      </c>
      <c r="G664">
        <f t="shared" si="21"/>
        <v>13.17</v>
      </c>
      <c r="H664" s="2">
        <v>45539.857630524908</v>
      </c>
      <c r="I664" t="s">
        <v>33</v>
      </c>
      <c r="J664" t="s">
        <v>1371</v>
      </c>
    </row>
    <row r="665" spans="1:10" x14ac:dyDescent="0.3">
      <c r="A665" t="s">
        <v>1372</v>
      </c>
      <c r="B665" t="s">
        <v>22</v>
      </c>
      <c r="C665" t="s">
        <v>30</v>
      </c>
      <c r="D665">
        <v>5</v>
      </c>
      <c r="E665">
        <v>22.46</v>
      </c>
      <c r="F665" t="str">
        <f t="shared" si="20"/>
        <v>2025-01</v>
      </c>
      <c r="G665">
        <f t="shared" si="21"/>
        <v>112.30000000000001</v>
      </c>
      <c r="H665" s="2">
        <v>45666.857630524908</v>
      </c>
      <c r="I665" t="s">
        <v>33</v>
      </c>
      <c r="J665" t="s">
        <v>1373</v>
      </c>
    </row>
    <row r="666" spans="1:10" x14ac:dyDescent="0.3">
      <c r="A666" t="s">
        <v>1374</v>
      </c>
      <c r="B666" t="s">
        <v>19</v>
      </c>
      <c r="C666" t="s">
        <v>28</v>
      </c>
      <c r="D666">
        <v>1</v>
      </c>
      <c r="E666">
        <v>15.71</v>
      </c>
      <c r="F666" t="str">
        <f t="shared" si="20"/>
        <v>2024-09</v>
      </c>
      <c r="G666">
        <f t="shared" si="21"/>
        <v>15.71</v>
      </c>
      <c r="H666" s="2">
        <v>45550.857630524908</v>
      </c>
      <c r="I666" t="s">
        <v>31</v>
      </c>
      <c r="J666" t="s">
        <v>1375</v>
      </c>
    </row>
    <row r="667" spans="1:10" x14ac:dyDescent="0.3">
      <c r="A667" t="s">
        <v>1376</v>
      </c>
      <c r="B667" t="s">
        <v>18</v>
      </c>
      <c r="C667" t="s">
        <v>29</v>
      </c>
      <c r="D667">
        <v>2</v>
      </c>
      <c r="E667">
        <v>34.29</v>
      </c>
      <c r="F667" t="str">
        <f t="shared" si="20"/>
        <v>2024-12</v>
      </c>
      <c r="G667">
        <f t="shared" si="21"/>
        <v>68.58</v>
      </c>
      <c r="H667" s="2">
        <v>45651.857630524908</v>
      </c>
      <c r="I667" t="s">
        <v>32</v>
      </c>
      <c r="J667" t="s">
        <v>1377</v>
      </c>
    </row>
    <row r="668" spans="1:10" x14ac:dyDescent="0.3">
      <c r="A668" t="s">
        <v>1378</v>
      </c>
      <c r="B668" t="s">
        <v>16</v>
      </c>
      <c r="C668" t="s">
        <v>29</v>
      </c>
      <c r="D668">
        <v>3</v>
      </c>
      <c r="E668">
        <v>26.53</v>
      </c>
      <c r="F668" t="str">
        <f t="shared" si="20"/>
        <v>2024-11</v>
      </c>
      <c r="G668">
        <f t="shared" si="21"/>
        <v>79.59</v>
      </c>
      <c r="H668" s="2">
        <v>45609.857630524908</v>
      </c>
      <c r="I668" t="s">
        <v>35</v>
      </c>
      <c r="J668" t="s">
        <v>1379</v>
      </c>
    </row>
    <row r="669" spans="1:10" x14ac:dyDescent="0.3">
      <c r="A669" t="s">
        <v>1380</v>
      </c>
      <c r="B669" t="s">
        <v>19</v>
      </c>
      <c r="C669" t="s">
        <v>28</v>
      </c>
      <c r="D669">
        <v>2</v>
      </c>
      <c r="E669">
        <v>34.18</v>
      </c>
      <c r="F669" t="str">
        <f t="shared" si="20"/>
        <v>2025-02</v>
      </c>
      <c r="G669">
        <f t="shared" si="21"/>
        <v>68.36</v>
      </c>
      <c r="H669" s="2">
        <v>45711.857630524908</v>
      </c>
      <c r="I669" t="s">
        <v>31</v>
      </c>
      <c r="J669" t="s">
        <v>1381</v>
      </c>
    </row>
    <row r="670" spans="1:10" x14ac:dyDescent="0.3">
      <c r="A670" t="s">
        <v>1382</v>
      </c>
      <c r="B670" t="s">
        <v>19</v>
      </c>
      <c r="C670" t="s">
        <v>28</v>
      </c>
      <c r="D670">
        <v>1</v>
      </c>
      <c r="E670">
        <v>37.049999999999997</v>
      </c>
      <c r="F670" t="str">
        <f t="shared" si="20"/>
        <v>2025-01</v>
      </c>
      <c r="G670">
        <f t="shared" si="21"/>
        <v>37.049999999999997</v>
      </c>
      <c r="H670" s="2">
        <v>45683.857630524908</v>
      </c>
      <c r="I670" t="s">
        <v>35</v>
      </c>
      <c r="J670" t="s">
        <v>1383</v>
      </c>
    </row>
    <row r="671" spans="1:10" x14ac:dyDescent="0.3">
      <c r="A671" t="s">
        <v>1384</v>
      </c>
      <c r="B671" t="s">
        <v>18</v>
      </c>
      <c r="C671" t="s">
        <v>29</v>
      </c>
      <c r="D671">
        <v>4</v>
      </c>
      <c r="E671">
        <v>10.54</v>
      </c>
      <c r="F671" t="str">
        <f t="shared" si="20"/>
        <v>2024-05</v>
      </c>
      <c r="G671">
        <f t="shared" si="21"/>
        <v>42.16</v>
      </c>
      <c r="H671" s="2">
        <v>45431.857630524908</v>
      </c>
      <c r="I671" t="s">
        <v>34</v>
      </c>
      <c r="J671" t="s">
        <v>1385</v>
      </c>
    </row>
    <row r="672" spans="1:10" x14ac:dyDescent="0.3">
      <c r="A672" t="s">
        <v>1386</v>
      </c>
      <c r="B672" t="s">
        <v>20</v>
      </c>
      <c r="C672" t="s">
        <v>30</v>
      </c>
      <c r="D672">
        <v>1</v>
      </c>
      <c r="E672">
        <v>16.57</v>
      </c>
      <c r="F672" t="str">
        <f t="shared" si="20"/>
        <v>2024-08</v>
      </c>
      <c r="G672">
        <f t="shared" si="21"/>
        <v>16.57</v>
      </c>
      <c r="H672" s="2">
        <v>45508.857630524908</v>
      </c>
      <c r="I672" t="s">
        <v>34</v>
      </c>
      <c r="J672" t="s">
        <v>1387</v>
      </c>
    </row>
    <row r="673" spans="1:10" x14ac:dyDescent="0.3">
      <c r="A673" t="s">
        <v>1388</v>
      </c>
      <c r="B673" t="s">
        <v>25</v>
      </c>
      <c r="C673" t="s">
        <v>30</v>
      </c>
      <c r="D673">
        <v>3</v>
      </c>
      <c r="E673">
        <v>17.100000000000001</v>
      </c>
      <c r="F673" t="str">
        <f t="shared" si="20"/>
        <v>2024-08</v>
      </c>
      <c r="G673">
        <f t="shared" si="21"/>
        <v>51.300000000000004</v>
      </c>
      <c r="H673" s="2">
        <v>45508.857630524908</v>
      </c>
      <c r="I673" t="s">
        <v>31</v>
      </c>
      <c r="J673" t="s">
        <v>1389</v>
      </c>
    </row>
    <row r="674" spans="1:10" x14ac:dyDescent="0.3">
      <c r="A674" t="s">
        <v>1390</v>
      </c>
      <c r="B674" t="s">
        <v>22</v>
      </c>
      <c r="C674" t="s">
        <v>30</v>
      </c>
      <c r="D674">
        <v>5</v>
      </c>
      <c r="E674">
        <v>46.58</v>
      </c>
      <c r="F674" t="str">
        <f t="shared" si="20"/>
        <v>2025-03</v>
      </c>
      <c r="G674">
        <f t="shared" si="21"/>
        <v>232.89999999999998</v>
      </c>
      <c r="H674" s="2">
        <v>45724.857630524908</v>
      </c>
      <c r="I674" t="s">
        <v>34</v>
      </c>
      <c r="J674" t="s">
        <v>1391</v>
      </c>
    </row>
    <row r="675" spans="1:10" x14ac:dyDescent="0.3">
      <c r="A675" t="s">
        <v>1392</v>
      </c>
      <c r="B675" t="s">
        <v>27</v>
      </c>
      <c r="C675" t="s">
        <v>28</v>
      </c>
      <c r="D675">
        <v>5</v>
      </c>
      <c r="E675">
        <v>17.97</v>
      </c>
      <c r="F675" t="str">
        <f t="shared" si="20"/>
        <v>2024-09</v>
      </c>
      <c r="G675">
        <f t="shared" si="21"/>
        <v>89.85</v>
      </c>
      <c r="H675" s="2">
        <v>45539.857630524908</v>
      </c>
      <c r="I675" t="s">
        <v>34</v>
      </c>
      <c r="J675" t="s">
        <v>1393</v>
      </c>
    </row>
    <row r="676" spans="1:10" x14ac:dyDescent="0.3">
      <c r="A676" t="s">
        <v>1394</v>
      </c>
      <c r="B676" t="s">
        <v>22</v>
      </c>
      <c r="C676" t="s">
        <v>30</v>
      </c>
      <c r="D676">
        <v>4</v>
      </c>
      <c r="E676">
        <v>37.799999999999997</v>
      </c>
      <c r="F676" t="str">
        <f t="shared" si="20"/>
        <v>2024-07</v>
      </c>
      <c r="G676">
        <f t="shared" si="21"/>
        <v>151.19999999999999</v>
      </c>
      <c r="H676" s="2">
        <v>45481.857630524908</v>
      </c>
      <c r="I676" t="s">
        <v>32</v>
      </c>
      <c r="J676" t="s">
        <v>1395</v>
      </c>
    </row>
    <row r="677" spans="1:10" x14ac:dyDescent="0.3">
      <c r="A677" t="s">
        <v>1396</v>
      </c>
      <c r="B677" t="s">
        <v>17</v>
      </c>
      <c r="C677" t="s">
        <v>29</v>
      </c>
      <c r="D677">
        <v>3</v>
      </c>
      <c r="E677">
        <v>34.380000000000003</v>
      </c>
      <c r="F677" t="str">
        <f t="shared" si="20"/>
        <v>2024-11</v>
      </c>
      <c r="G677">
        <f t="shared" si="21"/>
        <v>103.14000000000001</v>
      </c>
      <c r="H677" s="2">
        <v>45611.857630524908</v>
      </c>
      <c r="I677" t="s">
        <v>33</v>
      </c>
      <c r="J677" t="s">
        <v>1397</v>
      </c>
    </row>
    <row r="678" spans="1:10" x14ac:dyDescent="0.3">
      <c r="A678" t="s">
        <v>1398</v>
      </c>
      <c r="B678" t="s">
        <v>19</v>
      </c>
      <c r="C678" t="s">
        <v>28</v>
      </c>
      <c r="D678">
        <v>4</v>
      </c>
      <c r="E678">
        <v>12.92</v>
      </c>
      <c r="F678" t="str">
        <f t="shared" si="20"/>
        <v>2024-10</v>
      </c>
      <c r="G678">
        <f t="shared" si="21"/>
        <v>51.68</v>
      </c>
      <c r="H678" s="2">
        <v>45591.857630524908</v>
      </c>
      <c r="I678" t="s">
        <v>32</v>
      </c>
      <c r="J678" t="s">
        <v>1399</v>
      </c>
    </row>
    <row r="679" spans="1:10" x14ac:dyDescent="0.3">
      <c r="A679" t="s">
        <v>1400</v>
      </c>
      <c r="B679" t="s">
        <v>25</v>
      </c>
      <c r="C679" t="s">
        <v>30</v>
      </c>
      <c r="D679">
        <v>4</v>
      </c>
      <c r="E679">
        <v>42.01</v>
      </c>
      <c r="F679" t="str">
        <f t="shared" si="20"/>
        <v>2025-03</v>
      </c>
      <c r="G679">
        <f t="shared" si="21"/>
        <v>168.04</v>
      </c>
      <c r="H679" s="2">
        <v>45724.857630524908</v>
      </c>
      <c r="I679" t="s">
        <v>32</v>
      </c>
      <c r="J679" t="s">
        <v>1401</v>
      </c>
    </row>
    <row r="680" spans="1:10" x14ac:dyDescent="0.3">
      <c r="A680" t="s">
        <v>1402</v>
      </c>
      <c r="B680" t="s">
        <v>20</v>
      </c>
      <c r="C680" t="s">
        <v>30</v>
      </c>
      <c r="D680">
        <v>2</v>
      </c>
      <c r="E680">
        <v>16.809999999999999</v>
      </c>
      <c r="F680" t="str">
        <f t="shared" si="20"/>
        <v>2024-04</v>
      </c>
      <c r="G680">
        <f t="shared" si="21"/>
        <v>33.619999999999997</v>
      </c>
      <c r="H680" s="2">
        <v>45389.857630524908</v>
      </c>
      <c r="I680" t="s">
        <v>34</v>
      </c>
      <c r="J680" t="s">
        <v>1403</v>
      </c>
    </row>
    <row r="681" spans="1:10" x14ac:dyDescent="0.3">
      <c r="A681" t="s">
        <v>1404</v>
      </c>
      <c r="B681" t="s">
        <v>22</v>
      </c>
      <c r="C681" t="s">
        <v>30</v>
      </c>
      <c r="D681">
        <v>5</v>
      </c>
      <c r="E681">
        <v>26.23</v>
      </c>
      <c r="F681" t="str">
        <f t="shared" si="20"/>
        <v>2024-07</v>
      </c>
      <c r="G681">
        <f t="shared" si="21"/>
        <v>131.15</v>
      </c>
      <c r="H681" s="2">
        <v>45475.857630524908</v>
      </c>
      <c r="I681" t="s">
        <v>35</v>
      </c>
      <c r="J681" t="s">
        <v>1405</v>
      </c>
    </row>
    <row r="682" spans="1:10" x14ac:dyDescent="0.3">
      <c r="A682" t="s">
        <v>1406</v>
      </c>
      <c r="B682" t="s">
        <v>25</v>
      </c>
      <c r="C682" t="s">
        <v>30</v>
      </c>
      <c r="D682">
        <v>2</v>
      </c>
      <c r="E682">
        <v>40.44</v>
      </c>
      <c r="F682" t="str">
        <f t="shared" si="20"/>
        <v>2024-10</v>
      </c>
      <c r="G682">
        <f t="shared" si="21"/>
        <v>80.88</v>
      </c>
      <c r="H682" s="2">
        <v>45581.857630524908</v>
      </c>
      <c r="I682" t="s">
        <v>35</v>
      </c>
      <c r="J682" t="s">
        <v>1407</v>
      </c>
    </row>
    <row r="683" spans="1:10" x14ac:dyDescent="0.3">
      <c r="A683" t="s">
        <v>1408</v>
      </c>
      <c r="B683" t="s">
        <v>18</v>
      </c>
      <c r="C683" t="s">
        <v>29</v>
      </c>
      <c r="D683">
        <v>4</v>
      </c>
      <c r="E683">
        <v>14.35</v>
      </c>
      <c r="F683" t="str">
        <f t="shared" si="20"/>
        <v>2024-11</v>
      </c>
      <c r="G683">
        <f t="shared" si="21"/>
        <v>57.4</v>
      </c>
      <c r="H683" s="2">
        <v>45615.857630524908</v>
      </c>
      <c r="I683" t="s">
        <v>33</v>
      </c>
      <c r="J683" t="s">
        <v>1409</v>
      </c>
    </row>
    <row r="684" spans="1:10" x14ac:dyDescent="0.3">
      <c r="A684" t="s">
        <v>1410</v>
      </c>
      <c r="B684" t="s">
        <v>23</v>
      </c>
      <c r="C684" t="s">
        <v>28</v>
      </c>
      <c r="D684">
        <v>4</v>
      </c>
      <c r="E684">
        <v>42.11</v>
      </c>
      <c r="F684" t="str">
        <f t="shared" si="20"/>
        <v>2025-02</v>
      </c>
      <c r="G684">
        <f t="shared" si="21"/>
        <v>168.44</v>
      </c>
      <c r="H684" s="2">
        <v>45705.857630524908</v>
      </c>
      <c r="I684" t="s">
        <v>35</v>
      </c>
      <c r="J684" t="s">
        <v>1411</v>
      </c>
    </row>
    <row r="685" spans="1:10" x14ac:dyDescent="0.3">
      <c r="A685" t="s">
        <v>1412</v>
      </c>
      <c r="B685" t="s">
        <v>17</v>
      </c>
      <c r="C685" t="s">
        <v>29</v>
      </c>
      <c r="D685">
        <v>1</v>
      </c>
      <c r="E685">
        <v>11.79</v>
      </c>
      <c r="F685" t="str">
        <f t="shared" si="20"/>
        <v>2025-01</v>
      </c>
      <c r="G685">
        <f t="shared" si="21"/>
        <v>11.79</v>
      </c>
      <c r="H685" s="2">
        <v>45668.857630524908</v>
      </c>
      <c r="I685" t="s">
        <v>35</v>
      </c>
      <c r="J685" t="s">
        <v>1413</v>
      </c>
    </row>
    <row r="686" spans="1:10" x14ac:dyDescent="0.3">
      <c r="A686" t="s">
        <v>1414</v>
      </c>
      <c r="B686" t="s">
        <v>18</v>
      </c>
      <c r="C686" t="s">
        <v>29</v>
      </c>
      <c r="D686">
        <v>1</v>
      </c>
      <c r="E686">
        <v>55.41</v>
      </c>
      <c r="F686" t="str">
        <f t="shared" si="20"/>
        <v>2024-09</v>
      </c>
      <c r="G686">
        <f t="shared" si="21"/>
        <v>55.41</v>
      </c>
      <c r="H686" s="2">
        <v>45536.857630524908</v>
      </c>
      <c r="I686" t="s">
        <v>33</v>
      </c>
      <c r="J686" t="s">
        <v>1415</v>
      </c>
    </row>
    <row r="687" spans="1:10" x14ac:dyDescent="0.3">
      <c r="A687" t="s">
        <v>1416</v>
      </c>
      <c r="B687" t="s">
        <v>16</v>
      </c>
      <c r="C687" t="s">
        <v>29</v>
      </c>
      <c r="D687">
        <v>1</v>
      </c>
      <c r="E687">
        <v>36.880000000000003</v>
      </c>
      <c r="F687" t="str">
        <f t="shared" si="20"/>
        <v>2024-10</v>
      </c>
      <c r="G687">
        <f t="shared" si="21"/>
        <v>36.880000000000003</v>
      </c>
      <c r="H687" s="2">
        <v>45574.857630524908</v>
      </c>
      <c r="I687" t="s">
        <v>34</v>
      </c>
      <c r="J687" t="s">
        <v>1417</v>
      </c>
    </row>
    <row r="688" spans="1:10" x14ac:dyDescent="0.3">
      <c r="A688" t="s">
        <v>1418</v>
      </c>
      <c r="B688" t="s">
        <v>25</v>
      </c>
      <c r="C688" t="s">
        <v>30</v>
      </c>
      <c r="D688">
        <v>5</v>
      </c>
      <c r="E688">
        <v>35.17</v>
      </c>
      <c r="F688" t="str">
        <f t="shared" si="20"/>
        <v>2024-11</v>
      </c>
      <c r="G688">
        <f t="shared" si="21"/>
        <v>175.85000000000002</v>
      </c>
      <c r="H688" s="2">
        <v>45621.857630524908</v>
      </c>
      <c r="I688" t="s">
        <v>35</v>
      </c>
      <c r="J688" t="s">
        <v>1419</v>
      </c>
    </row>
    <row r="689" spans="1:10" x14ac:dyDescent="0.3">
      <c r="A689" t="s">
        <v>1420</v>
      </c>
      <c r="B689" t="s">
        <v>23</v>
      </c>
      <c r="C689" t="s">
        <v>28</v>
      </c>
      <c r="D689">
        <v>5</v>
      </c>
      <c r="E689">
        <v>38.29</v>
      </c>
      <c r="F689" t="str">
        <f t="shared" si="20"/>
        <v>2024-06</v>
      </c>
      <c r="G689">
        <f t="shared" si="21"/>
        <v>191.45</v>
      </c>
      <c r="H689" s="2">
        <v>45455.857630524908</v>
      </c>
      <c r="I689" t="s">
        <v>35</v>
      </c>
      <c r="J689" t="s">
        <v>1421</v>
      </c>
    </row>
    <row r="690" spans="1:10" x14ac:dyDescent="0.3">
      <c r="A690" t="s">
        <v>1422</v>
      </c>
      <c r="B690" t="s">
        <v>24</v>
      </c>
      <c r="C690" t="s">
        <v>28</v>
      </c>
      <c r="D690">
        <v>4</v>
      </c>
      <c r="E690">
        <v>42.09</v>
      </c>
      <c r="F690" t="str">
        <f t="shared" si="20"/>
        <v>2024-04</v>
      </c>
      <c r="G690">
        <f t="shared" si="21"/>
        <v>168.36</v>
      </c>
      <c r="H690" s="2">
        <v>45406.857630524908</v>
      </c>
      <c r="I690" t="s">
        <v>34</v>
      </c>
      <c r="J690" t="s">
        <v>1423</v>
      </c>
    </row>
    <row r="691" spans="1:10" x14ac:dyDescent="0.3">
      <c r="A691" t="s">
        <v>1424</v>
      </c>
      <c r="B691" t="s">
        <v>22</v>
      </c>
      <c r="C691" t="s">
        <v>30</v>
      </c>
      <c r="D691">
        <v>3</v>
      </c>
      <c r="E691">
        <v>29.44</v>
      </c>
      <c r="F691" t="str">
        <f t="shared" si="20"/>
        <v>2024-11</v>
      </c>
      <c r="G691">
        <f t="shared" si="21"/>
        <v>88.320000000000007</v>
      </c>
      <c r="H691" s="2">
        <v>45622.857630524908</v>
      </c>
      <c r="I691" t="s">
        <v>35</v>
      </c>
      <c r="J691" t="s">
        <v>1425</v>
      </c>
    </row>
    <row r="692" spans="1:10" x14ac:dyDescent="0.3">
      <c r="A692" t="s">
        <v>1426</v>
      </c>
      <c r="B692" t="s">
        <v>20</v>
      </c>
      <c r="C692" t="s">
        <v>30</v>
      </c>
      <c r="D692">
        <v>3</v>
      </c>
      <c r="E692">
        <v>17.55</v>
      </c>
      <c r="F692" t="str">
        <f t="shared" si="20"/>
        <v>2024-12</v>
      </c>
      <c r="G692">
        <f t="shared" si="21"/>
        <v>52.650000000000006</v>
      </c>
      <c r="H692" s="2">
        <v>45646.857630524908</v>
      </c>
      <c r="I692" t="s">
        <v>32</v>
      </c>
      <c r="J692" t="s">
        <v>1427</v>
      </c>
    </row>
    <row r="693" spans="1:10" x14ac:dyDescent="0.3">
      <c r="A693" t="s">
        <v>1428</v>
      </c>
      <c r="B693" t="s">
        <v>17</v>
      </c>
      <c r="C693" t="s">
        <v>29</v>
      </c>
      <c r="D693">
        <v>5</v>
      </c>
      <c r="E693">
        <v>59.42</v>
      </c>
      <c r="F693" t="str">
        <f t="shared" si="20"/>
        <v>2024-07</v>
      </c>
      <c r="G693">
        <f t="shared" si="21"/>
        <v>297.10000000000002</v>
      </c>
      <c r="H693" s="2">
        <v>45477.857630524908</v>
      </c>
      <c r="I693" t="s">
        <v>35</v>
      </c>
      <c r="J693" t="s">
        <v>1429</v>
      </c>
    </row>
    <row r="694" spans="1:10" x14ac:dyDescent="0.3">
      <c r="A694" t="s">
        <v>1430</v>
      </c>
      <c r="B694" t="s">
        <v>17</v>
      </c>
      <c r="C694" t="s">
        <v>29</v>
      </c>
      <c r="D694">
        <v>1</v>
      </c>
      <c r="E694">
        <v>58.25</v>
      </c>
      <c r="F694" t="str">
        <f t="shared" si="20"/>
        <v>2024-07</v>
      </c>
      <c r="G694">
        <f t="shared" si="21"/>
        <v>58.25</v>
      </c>
      <c r="H694" s="2">
        <v>45474.857630524908</v>
      </c>
      <c r="I694" t="s">
        <v>31</v>
      </c>
      <c r="J694" t="s">
        <v>1431</v>
      </c>
    </row>
    <row r="695" spans="1:10" x14ac:dyDescent="0.3">
      <c r="A695" t="s">
        <v>1432</v>
      </c>
      <c r="B695" t="s">
        <v>27</v>
      </c>
      <c r="C695" t="s">
        <v>28</v>
      </c>
      <c r="D695">
        <v>1</v>
      </c>
      <c r="E695">
        <v>10.83</v>
      </c>
      <c r="F695" t="str">
        <f t="shared" si="20"/>
        <v>2024-05</v>
      </c>
      <c r="G695">
        <f t="shared" si="21"/>
        <v>10.83</v>
      </c>
      <c r="H695" s="2">
        <v>45437.857630524908</v>
      </c>
      <c r="I695" t="s">
        <v>33</v>
      </c>
      <c r="J695" t="s">
        <v>1433</v>
      </c>
    </row>
    <row r="696" spans="1:10" x14ac:dyDescent="0.3">
      <c r="A696" t="s">
        <v>1434</v>
      </c>
      <c r="B696" t="s">
        <v>17</v>
      </c>
      <c r="C696" t="s">
        <v>29</v>
      </c>
      <c r="D696">
        <v>3</v>
      </c>
      <c r="E696">
        <v>45.93</v>
      </c>
      <c r="F696" t="str">
        <f t="shared" si="20"/>
        <v>2024-05</v>
      </c>
      <c r="G696">
        <f t="shared" si="21"/>
        <v>137.79</v>
      </c>
      <c r="H696" s="2">
        <v>45439.857630524908</v>
      </c>
      <c r="I696" t="s">
        <v>32</v>
      </c>
      <c r="J696" t="s">
        <v>1435</v>
      </c>
    </row>
    <row r="697" spans="1:10" x14ac:dyDescent="0.3">
      <c r="A697" t="s">
        <v>1436</v>
      </c>
      <c r="B697" t="s">
        <v>24</v>
      </c>
      <c r="C697" t="s">
        <v>28</v>
      </c>
      <c r="D697">
        <v>3</v>
      </c>
      <c r="E697">
        <v>49.76</v>
      </c>
      <c r="F697" t="str">
        <f t="shared" si="20"/>
        <v>2024-06</v>
      </c>
      <c r="G697">
        <f t="shared" si="21"/>
        <v>149.28</v>
      </c>
      <c r="H697" s="2">
        <v>45455.857630524908</v>
      </c>
      <c r="I697" t="s">
        <v>34</v>
      </c>
      <c r="J697" t="s">
        <v>1437</v>
      </c>
    </row>
    <row r="698" spans="1:10" x14ac:dyDescent="0.3">
      <c r="A698" t="s">
        <v>1438</v>
      </c>
      <c r="B698" t="s">
        <v>18</v>
      </c>
      <c r="C698" t="s">
        <v>29</v>
      </c>
      <c r="D698">
        <v>2</v>
      </c>
      <c r="E698">
        <v>46.18</v>
      </c>
      <c r="F698" t="str">
        <f t="shared" si="20"/>
        <v>2025-03</v>
      </c>
      <c r="G698">
        <f t="shared" si="21"/>
        <v>92.36</v>
      </c>
      <c r="H698" s="2">
        <v>45733.857630524908</v>
      </c>
      <c r="I698" t="s">
        <v>31</v>
      </c>
      <c r="J698" t="s">
        <v>1439</v>
      </c>
    </row>
    <row r="699" spans="1:10" x14ac:dyDescent="0.3">
      <c r="A699" t="s">
        <v>1440</v>
      </c>
      <c r="B699" t="s">
        <v>27</v>
      </c>
      <c r="C699" t="s">
        <v>28</v>
      </c>
      <c r="D699">
        <v>4</v>
      </c>
      <c r="E699">
        <v>59.04</v>
      </c>
      <c r="F699" t="str">
        <f t="shared" si="20"/>
        <v>2024-09</v>
      </c>
      <c r="G699">
        <f t="shared" si="21"/>
        <v>236.16</v>
      </c>
      <c r="H699" s="2">
        <v>45559.857630524908</v>
      </c>
      <c r="I699" t="s">
        <v>35</v>
      </c>
      <c r="J699" t="s">
        <v>1441</v>
      </c>
    </row>
    <row r="700" spans="1:10" x14ac:dyDescent="0.3">
      <c r="A700" t="s">
        <v>1442</v>
      </c>
      <c r="B700" t="s">
        <v>27</v>
      </c>
      <c r="C700" t="s">
        <v>28</v>
      </c>
      <c r="D700">
        <v>4</v>
      </c>
      <c r="E700">
        <v>16.89</v>
      </c>
      <c r="F700" t="str">
        <f t="shared" si="20"/>
        <v>2024-11</v>
      </c>
      <c r="G700">
        <f t="shared" si="21"/>
        <v>67.56</v>
      </c>
      <c r="H700" s="2">
        <v>45626.857630524908</v>
      </c>
      <c r="I700" t="s">
        <v>33</v>
      </c>
      <c r="J700" t="s">
        <v>1443</v>
      </c>
    </row>
    <row r="701" spans="1:10" x14ac:dyDescent="0.3">
      <c r="A701" t="s">
        <v>1444</v>
      </c>
      <c r="B701" t="s">
        <v>17</v>
      </c>
      <c r="C701" t="s">
        <v>29</v>
      </c>
      <c r="D701">
        <v>5</v>
      </c>
      <c r="E701">
        <v>21.45</v>
      </c>
      <c r="F701" t="str">
        <f t="shared" si="20"/>
        <v>2024-12</v>
      </c>
      <c r="G701">
        <f t="shared" si="21"/>
        <v>107.25</v>
      </c>
      <c r="H701" s="2">
        <v>45633.857630524908</v>
      </c>
      <c r="I701" t="s">
        <v>32</v>
      </c>
      <c r="J701" t="s">
        <v>1445</v>
      </c>
    </row>
    <row r="702" spans="1:10" x14ac:dyDescent="0.3">
      <c r="A702" t="s">
        <v>1446</v>
      </c>
      <c r="B702" t="s">
        <v>24</v>
      </c>
      <c r="C702" t="s">
        <v>28</v>
      </c>
      <c r="D702">
        <v>1</v>
      </c>
      <c r="E702">
        <v>48.98</v>
      </c>
      <c r="F702" t="str">
        <f t="shared" si="20"/>
        <v>2024-09</v>
      </c>
      <c r="G702">
        <f t="shared" si="21"/>
        <v>48.98</v>
      </c>
      <c r="H702" s="2">
        <v>45549.857630524908</v>
      </c>
      <c r="I702" t="s">
        <v>35</v>
      </c>
      <c r="J702" t="s">
        <v>1447</v>
      </c>
    </row>
    <row r="703" spans="1:10" x14ac:dyDescent="0.3">
      <c r="A703" t="s">
        <v>1448</v>
      </c>
      <c r="B703" t="s">
        <v>24</v>
      </c>
      <c r="C703" t="s">
        <v>28</v>
      </c>
      <c r="D703">
        <v>5</v>
      </c>
      <c r="E703">
        <v>18.03</v>
      </c>
      <c r="F703" t="str">
        <f t="shared" si="20"/>
        <v>2024-05</v>
      </c>
      <c r="G703">
        <f t="shared" si="21"/>
        <v>90.15</v>
      </c>
      <c r="H703" s="2">
        <v>45421.857630524908</v>
      </c>
      <c r="I703" t="s">
        <v>35</v>
      </c>
      <c r="J703" t="s">
        <v>1449</v>
      </c>
    </row>
    <row r="704" spans="1:10" x14ac:dyDescent="0.3">
      <c r="A704" t="s">
        <v>1450</v>
      </c>
      <c r="B704" t="s">
        <v>17</v>
      </c>
      <c r="C704" t="s">
        <v>29</v>
      </c>
      <c r="D704">
        <v>4</v>
      </c>
      <c r="E704">
        <v>59</v>
      </c>
      <c r="F704" t="str">
        <f t="shared" si="20"/>
        <v>2024-10</v>
      </c>
      <c r="G704">
        <f t="shared" si="21"/>
        <v>236</v>
      </c>
      <c r="H704" s="2">
        <v>45594.857630524908</v>
      </c>
      <c r="I704" t="s">
        <v>35</v>
      </c>
      <c r="J704" t="s">
        <v>1451</v>
      </c>
    </row>
    <row r="705" spans="1:10" x14ac:dyDescent="0.3">
      <c r="A705" t="s">
        <v>1452</v>
      </c>
      <c r="B705" t="s">
        <v>27</v>
      </c>
      <c r="C705" t="s">
        <v>28</v>
      </c>
      <c r="D705">
        <v>1</v>
      </c>
      <c r="E705">
        <v>42.86</v>
      </c>
      <c r="F705" t="str">
        <f t="shared" si="20"/>
        <v>2025-03</v>
      </c>
      <c r="G705">
        <f t="shared" si="21"/>
        <v>42.86</v>
      </c>
      <c r="H705" s="2">
        <v>45727.857630524908</v>
      </c>
      <c r="I705" t="s">
        <v>31</v>
      </c>
      <c r="J705" t="s">
        <v>1453</v>
      </c>
    </row>
    <row r="706" spans="1:10" x14ac:dyDescent="0.3">
      <c r="A706" t="s">
        <v>1454</v>
      </c>
      <c r="B706" t="s">
        <v>22</v>
      </c>
      <c r="C706" t="s">
        <v>30</v>
      </c>
      <c r="D706">
        <v>1</v>
      </c>
      <c r="E706">
        <v>47.05</v>
      </c>
      <c r="F706" t="str">
        <f t="shared" si="20"/>
        <v>2024-06</v>
      </c>
      <c r="G706">
        <f t="shared" si="21"/>
        <v>47.05</v>
      </c>
      <c r="H706" s="2">
        <v>45452.857630524908</v>
      </c>
      <c r="I706" t="s">
        <v>31</v>
      </c>
      <c r="J706" t="s">
        <v>1455</v>
      </c>
    </row>
    <row r="707" spans="1:10" x14ac:dyDescent="0.3">
      <c r="A707" t="s">
        <v>1456</v>
      </c>
      <c r="B707" t="s">
        <v>24</v>
      </c>
      <c r="C707" t="s">
        <v>28</v>
      </c>
      <c r="D707">
        <v>1</v>
      </c>
      <c r="E707">
        <v>41.46</v>
      </c>
      <c r="F707" t="str">
        <f t="shared" ref="F707:F770" si="22">TEXT(H707, "yyyy-mm")</f>
        <v>2024-07</v>
      </c>
      <c r="G707">
        <f t="shared" ref="G707:G770" si="23">D707*E707</f>
        <v>41.46</v>
      </c>
      <c r="H707" s="2">
        <v>45493.857630524908</v>
      </c>
      <c r="I707" t="s">
        <v>34</v>
      </c>
      <c r="J707" t="s">
        <v>1457</v>
      </c>
    </row>
    <row r="708" spans="1:10" x14ac:dyDescent="0.3">
      <c r="A708" t="s">
        <v>1458</v>
      </c>
      <c r="B708" t="s">
        <v>27</v>
      </c>
      <c r="C708" t="s">
        <v>28</v>
      </c>
      <c r="D708">
        <v>5</v>
      </c>
      <c r="E708">
        <v>57.22</v>
      </c>
      <c r="F708" t="str">
        <f t="shared" si="22"/>
        <v>2025-01</v>
      </c>
      <c r="G708">
        <f t="shared" si="23"/>
        <v>286.10000000000002</v>
      </c>
      <c r="H708" s="2">
        <v>45662.857630524908</v>
      </c>
      <c r="I708" t="s">
        <v>35</v>
      </c>
      <c r="J708" t="s">
        <v>1459</v>
      </c>
    </row>
    <row r="709" spans="1:10" x14ac:dyDescent="0.3">
      <c r="A709" t="s">
        <v>1460</v>
      </c>
      <c r="B709" t="s">
        <v>26</v>
      </c>
      <c r="C709" t="s">
        <v>28</v>
      </c>
      <c r="D709">
        <v>1</v>
      </c>
      <c r="E709">
        <v>18.27</v>
      </c>
      <c r="F709" t="str">
        <f t="shared" si="22"/>
        <v>2025-01</v>
      </c>
      <c r="G709">
        <f t="shared" si="23"/>
        <v>18.27</v>
      </c>
      <c r="H709" s="2">
        <v>45682.857630524908</v>
      </c>
      <c r="I709" t="s">
        <v>33</v>
      </c>
      <c r="J709" t="s">
        <v>1461</v>
      </c>
    </row>
    <row r="710" spans="1:10" x14ac:dyDescent="0.3">
      <c r="A710" t="s">
        <v>1462</v>
      </c>
      <c r="B710" t="s">
        <v>23</v>
      </c>
      <c r="C710" t="s">
        <v>28</v>
      </c>
      <c r="D710">
        <v>2</v>
      </c>
      <c r="E710">
        <v>16.38</v>
      </c>
      <c r="F710" t="str">
        <f t="shared" si="22"/>
        <v>2025-03</v>
      </c>
      <c r="G710">
        <f t="shared" si="23"/>
        <v>32.76</v>
      </c>
      <c r="H710" s="2">
        <v>45731.857630524908</v>
      </c>
      <c r="I710" t="s">
        <v>35</v>
      </c>
      <c r="J710" t="s">
        <v>1463</v>
      </c>
    </row>
    <row r="711" spans="1:10" x14ac:dyDescent="0.3">
      <c r="A711" t="s">
        <v>1464</v>
      </c>
      <c r="B711" t="s">
        <v>20</v>
      </c>
      <c r="C711" t="s">
        <v>30</v>
      </c>
      <c r="D711">
        <v>1</v>
      </c>
      <c r="E711">
        <v>39.97</v>
      </c>
      <c r="F711" t="str">
        <f t="shared" si="22"/>
        <v>2024-08</v>
      </c>
      <c r="G711">
        <f t="shared" si="23"/>
        <v>39.97</v>
      </c>
      <c r="H711" s="2">
        <v>45533.857630524908</v>
      </c>
      <c r="I711" t="s">
        <v>32</v>
      </c>
      <c r="J711" t="s">
        <v>1465</v>
      </c>
    </row>
    <row r="712" spans="1:10" x14ac:dyDescent="0.3">
      <c r="A712" t="s">
        <v>1466</v>
      </c>
      <c r="B712" t="s">
        <v>16</v>
      </c>
      <c r="C712" t="s">
        <v>29</v>
      </c>
      <c r="D712">
        <v>1</v>
      </c>
      <c r="E712">
        <v>41.92</v>
      </c>
      <c r="F712" t="str">
        <f t="shared" si="22"/>
        <v>2024-12</v>
      </c>
      <c r="G712">
        <f t="shared" si="23"/>
        <v>41.92</v>
      </c>
      <c r="H712" s="2">
        <v>45637.857630524908</v>
      </c>
      <c r="I712" t="s">
        <v>32</v>
      </c>
      <c r="J712" t="s">
        <v>1467</v>
      </c>
    </row>
    <row r="713" spans="1:10" x14ac:dyDescent="0.3">
      <c r="A713" t="s">
        <v>1468</v>
      </c>
      <c r="B713" t="s">
        <v>17</v>
      </c>
      <c r="C713" t="s">
        <v>29</v>
      </c>
      <c r="D713">
        <v>4</v>
      </c>
      <c r="E713">
        <v>52.73</v>
      </c>
      <c r="F713" t="str">
        <f t="shared" si="22"/>
        <v>2024-11</v>
      </c>
      <c r="G713">
        <f t="shared" si="23"/>
        <v>210.92</v>
      </c>
      <c r="H713" s="2">
        <v>45625.857630524908</v>
      </c>
      <c r="I713" t="s">
        <v>32</v>
      </c>
      <c r="J713" t="s">
        <v>1469</v>
      </c>
    </row>
    <row r="714" spans="1:10" x14ac:dyDescent="0.3">
      <c r="A714" t="s">
        <v>1470</v>
      </c>
      <c r="B714" t="s">
        <v>23</v>
      </c>
      <c r="C714" t="s">
        <v>28</v>
      </c>
      <c r="D714">
        <v>5</v>
      </c>
      <c r="E714">
        <v>30.49</v>
      </c>
      <c r="F714" t="str">
        <f t="shared" si="22"/>
        <v>2024-08</v>
      </c>
      <c r="G714">
        <f t="shared" si="23"/>
        <v>152.44999999999999</v>
      </c>
      <c r="H714" s="2">
        <v>45515.857630524908</v>
      </c>
      <c r="I714" t="s">
        <v>31</v>
      </c>
      <c r="J714" t="s">
        <v>1471</v>
      </c>
    </row>
    <row r="715" spans="1:10" x14ac:dyDescent="0.3">
      <c r="A715" t="s">
        <v>1472</v>
      </c>
      <c r="B715" t="s">
        <v>26</v>
      </c>
      <c r="C715" t="s">
        <v>28</v>
      </c>
      <c r="D715">
        <v>2</v>
      </c>
      <c r="E715">
        <v>34.020000000000003</v>
      </c>
      <c r="F715" t="str">
        <f t="shared" si="22"/>
        <v>2025-04</v>
      </c>
      <c r="G715">
        <f t="shared" si="23"/>
        <v>68.040000000000006</v>
      </c>
      <c r="H715" s="2">
        <v>45749.857630524908</v>
      </c>
      <c r="I715" t="s">
        <v>35</v>
      </c>
      <c r="J715" t="s">
        <v>1473</v>
      </c>
    </row>
    <row r="716" spans="1:10" x14ac:dyDescent="0.3">
      <c r="A716" t="s">
        <v>1474</v>
      </c>
      <c r="B716" t="s">
        <v>16</v>
      </c>
      <c r="C716" t="s">
        <v>29</v>
      </c>
      <c r="D716">
        <v>3</v>
      </c>
      <c r="E716">
        <v>29.32</v>
      </c>
      <c r="F716" t="str">
        <f t="shared" si="22"/>
        <v>2024-06</v>
      </c>
      <c r="G716">
        <f t="shared" si="23"/>
        <v>87.960000000000008</v>
      </c>
      <c r="H716" s="2">
        <v>45461.857630524908</v>
      </c>
      <c r="I716" t="s">
        <v>31</v>
      </c>
      <c r="J716" t="s">
        <v>1475</v>
      </c>
    </row>
    <row r="717" spans="1:10" x14ac:dyDescent="0.3">
      <c r="A717" t="s">
        <v>1476</v>
      </c>
      <c r="B717" t="s">
        <v>27</v>
      </c>
      <c r="C717" t="s">
        <v>28</v>
      </c>
      <c r="D717">
        <v>5</v>
      </c>
      <c r="E717">
        <v>38.58</v>
      </c>
      <c r="F717" t="str">
        <f t="shared" si="22"/>
        <v>2024-05</v>
      </c>
      <c r="G717">
        <f t="shared" si="23"/>
        <v>192.89999999999998</v>
      </c>
      <c r="H717" s="2">
        <v>45413.857630524908</v>
      </c>
      <c r="I717" t="s">
        <v>34</v>
      </c>
      <c r="J717" t="s">
        <v>1477</v>
      </c>
    </row>
    <row r="718" spans="1:10" x14ac:dyDescent="0.3">
      <c r="A718" t="s">
        <v>1478</v>
      </c>
      <c r="B718" t="s">
        <v>16</v>
      </c>
      <c r="C718" t="s">
        <v>29</v>
      </c>
      <c r="D718">
        <v>4</v>
      </c>
      <c r="E718">
        <v>13.91</v>
      </c>
      <c r="F718" t="str">
        <f t="shared" si="22"/>
        <v>2025-03</v>
      </c>
      <c r="G718">
        <f t="shared" si="23"/>
        <v>55.64</v>
      </c>
      <c r="H718" s="2">
        <v>45734.857630524908</v>
      </c>
      <c r="I718" t="s">
        <v>32</v>
      </c>
      <c r="J718" t="s">
        <v>1479</v>
      </c>
    </row>
    <row r="719" spans="1:10" x14ac:dyDescent="0.3">
      <c r="A719" t="s">
        <v>1480</v>
      </c>
      <c r="B719" t="s">
        <v>22</v>
      </c>
      <c r="C719" t="s">
        <v>30</v>
      </c>
      <c r="D719">
        <v>4</v>
      </c>
      <c r="E719">
        <v>15.05</v>
      </c>
      <c r="F719" t="str">
        <f t="shared" si="22"/>
        <v>2024-08</v>
      </c>
      <c r="G719">
        <f t="shared" si="23"/>
        <v>60.2</v>
      </c>
      <c r="H719" s="2">
        <v>45506.857630524908</v>
      </c>
      <c r="I719" t="s">
        <v>34</v>
      </c>
      <c r="J719" t="s">
        <v>1481</v>
      </c>
    </row>
    <row r="720" spans="1:10" x14ac:dyDescent="0.3">
      <c r="A720" t="s">
        <v>1482</v>
      </c>
      <c r="B720" t="s">
        <v>17</v>
      </c>
      <c r="C720" t="s">
        <v>29</v>
      </c>
      <c r="D720">
        <v>2</v>
      </c>
      <c r="E720">
        <v>40.1</v>
      </c>
      <c r="F720" t="str">
        <f t="shared" si="22"/>
        <v>2025-03</v>
      </c>
      <c r="G720">
        <f t="shared" si="23"/>
        <v>80.2</v>
      </c>
      <c r="H720" s="2">
        <v>45723.857630524908</v>
      </c>
      <c r="I720" t="s">
        <v>31</v>
      </c>
      <c r="J720" t="s">
        <v>1483</v>
      </c>
    </row>
    <row r="721" spans="1:10" x14ac:dyDescent="0.3">
      <c r="A721" t="s">
        <v>1484</v>
      </c>
      <c r="B721" t="s">
        <v>16</v>
      </c>
      <c r="C721" t="s">
        <v>29</v>
      </c>
      <c r="D721">
        <v>2</v>
      </c>
      <c r="E721">
        <v>21.91</v>
      </c>
      <c r="F721" t="str">
        <f t="shared" si="22"/>
        <v>2024-10</v>
      </c>
      <c r="G721">
        <f t="shared" si="23"/>
        <v>43.82</v>
      </c>
      <c r="H721" s="2">
        <v>45587.857630524908</v>
      </c>
      <c r="I721" t="s">
        <v>34</v>
      </c>
      <c r="J721" t="s">
        <v>1485</v>
      </c>
    </row>
    <row r="722" spans="1:10" x14ac:dyDescent="0.3">
      <c r="A722" t="s">
        <v>1486</v>
      </c>
      <c r="B722" t="s">
        <v>27</v>
      </c>
      <c r="C722" t="s">
        <v>28</v>
      </c>
      <c r="D722">
        <v>3</v>
      </c>
      <c r="E722">
        <v>39.81</v>
      </c>
      <c r="F722" t="str">
        <f t="shared" si="22"/>
        <v>2024-05</v>
      </c>
      <c r="G722">
        <f t="shared" si="23"/>
        <v>119.43</v>
      </c>
      <c r="H722" s="2">
        <v>45424.857630524908</v>
      </c>
      <c r="I722" t="s">
        <v>35</v>
      </c>
      <c r="J722" t="s">
        <v>1487</v>
      </c>
    </row>
    <row r="723" spans="1:10" x14ac:dyDescent="0.3">
      <c r="A723" t="s">
        <v>1488</v>
      </c>
      <c r="B723" t="s">
        <v>25</v>
      </c>
      <c r="C723" t="s">
        <v>30</v>
      </c>
      <c r="D723">
        <v>2</v>
      </c>
      <c r="E723">
        <v>50.81</v>
      </c>
      <c r="F723" t="str">
        <f t="shared" si="22"/>
        <v>2024-08</v>
      </c>
      <c r="G723">
        <f t="shared" si="23"/>
        <v>101.62</v>
      </c>
      <c r="H723" s="2">
        <v>45535.857630524908</v>
      </c>
      <c r="I723" t="s">
        <v>32</v>
      </c>
      <c r="J723" t="s">
        <v>1489</v>
      </c>
    </row>
    <row r="724" spans="1:10" x14ac:dyDescent="0.3">
      <c r="A724" t="s">
        <v>1490</v>
      </c>
      <c r="B724" t="s">
        <v>18</v>
      </c>
      <c r="C724" t="s">
        <v>29</v>
      </c>
      <c r="D724">
        <v>2</v>
      </c>
      <c r="E724">
        <v>16.420000000000002</v>
      </c>
      <c r="F724" t="str">
        <f t="shared" si="22"/>
        <v>2024-08</v>
      </c>
      <c r="G724">
        <f t="shared" si="23"/>
        <v>32.840000000000003</v>
      </c>
      <c r="H724" s="2">
        <v>45529.857630524908</v>
      </c>
      <c r="I724" t="s">
        <v>35</v>
      </c>
      <c r="J724" t="s">
        <v>1491</v>
      </c>
    </row>
    <row r="725" spans="1:10" x14ac:dyDescent="0.3">
      <c r="A725" t="s">
        <v>1492</v>
      </c>
      <c r="B725" t="s">
        <v>16</v>
      </c>
      <c r="C725" t="s">
        <v>29</v>
      </c>
      <c r="D725">
        <v>3</v>
      </c>
      <c r="E725">
        <v>50.82</v>
      </c>
      <c r="F725" t="str">
        <f t="shared" si="22"/>
        <v>2024-12</v>
      </c>
      <c r="G725">
        <f t="shared" si="23"/>
        <v>152.46</v>
      </c>
      <c r="H725" s="2">
        <v>45636.857630524908</v>
      </c>
      <c r="I725" t="s">
        <v>34</v>
      </c>
      <c r="J725" t="s">
        <v>1493</v>
      </c>
    </row>
    <row r="726" spans="1:10" x14ac:dyDescent="0.3">
      <c r="A726" t="s">
        <v>1494</v>
      </c>
      <c r="B726" t="s">
        <v>22</v>
      </c>
      <c r="C726" t="s">
        <v>30</v>
      </c>
      <c r="D726">
        <v>1</v>
      </c>
      <c r="E726">
        <v>52.82</v>
      </c>
      <c r="F726" t="str">
        <f t="shared" si="22"/>
        <v>2024-12</v>
      </c>
      <c r="G726">
        <f t="shared" si="23"/>
        <v>52.82</v>
      </c>
      <c r="H726" s="2">
        <v>45636.857630524908</v>
      </c>
      <c r="I726" t="s">
        <v>32</v>
      </c>
      <c r="J726" t="s">
        <v>1495</v>
      </c>
    </row>
    <row r="727" spans="1:10" x14ac:dyDescent="0.3">
      <c r="A727" t="s">
        <v>1496</v>
      </c>
      <c r="B727" t="s">
        <v>19</v>
      </c>
      <c r="C727" t="s">
        <v>28</v>
      </c>
      <c r="D727">
        <v>5</v>
      </c>
      <c r="E727">
        <v>52.51</v>
      </c>
      <c r="F727" t="str">
        <f t="shared" si="22"/>
        <v>2025-03</v>
      </c>
      <c r="G727">
        <f t="shared" si="23"/>
        <v>262.55</v>
      </c>
      <c r="H727" s="2">
        <v>45733.857630524908</v>
      </c>
      <c r="I727" t="s">
        <v>32</v>
      </c>
      <c r="J727" t="s">
        <v>1497</v>
      </c>
    </row>
    <row r="728" spans="1:10" x14ac:dyDescent="0.3">
      <c r="A728" t="s">
        <v>1498</v>
      </c>
      <c r="B728" t="s">
        <v>25</v>
      </c>
      <c r="C728" t="s">
        <v>30</v>
      </c>
      <c r="D728">
        <v>4</v>
      </c>
      <c r="E728">
        <v>18.52</v>
      </c>
      <c r="F728" t="str">
        <f t="shared" si="22"/>
        <v>2024-11</v>
      </c>
      <c r="G728">
        <f t="shared" si="23"/>
        <v>74.08</v>
      </c>
      <c r="H728" s="2">
        <v>45611.857630524908</v>
      </c>
      <c r="I728" t="s">
        <v>33</v>
      </c>
      <c r="J728" t="s">
        <v>1499</v>
      </c>
    </row>
    <row r="729" spans="1:10" x14ac:dyDescent="0.3">
      <c r="A729" t="s">
        <v>1500</v>
      </c>
      <c r="B729" t="s">
        <v>22</v>
      </c>
      <c r="C729" t="s">
        <v>30</v>
      </c>
      <c r="D729">
        <v>2</v>
      </c>
      <c r="E729">
        <v>35.299999999999997</v>
      </c>
      <c r="F729" t="str">
        <f t="shared" si="22"/>
        <v>2025-02</v>
      </c>
      <c r="G729">
        <f t="shared" si="23"/>
        <v>70.599999999999994</v>
      </c>
      <c r="H729" s="2">
        <v>45713.857630524908</v>
      </c>
      <c r="I729" t="s">
        <v>32</v>
      </c>
      <c r="J729" t="s">
        <v>1501</v>
      </c>
    </row>
    <row r="730" spans="1:10" x14ac:dyDescent="0.3">
      <c r="A730" t="s">
        <v>1502</v>
      </c>
      <c r="B730" t="s">
        <v>26</v>
      </c>
      <c r="C730" t="s">
        <v>28</v>
      </c>
      <c r="D730">
        <v>5</v>
      </c>
      <c r="E730">
        <v>21.25</v>
      </c>
      <c r="F730" t="str">
        <f t="shared" si="22"/>
        <v>2025-03</v>
      </c>
      <c r="G730">
        <f t="shared" si="23"/>
        <v>106.25</v>
      </c>
      <c r="H730" s="2">
        <v>45723.857630524908</v>
      </c>
      <c r="I730" t="s">
        <v>32</v>
      </c>
      <c r="J730" t="s">
        <v>1503</v>
      </c>
    </row>
    <row r="731" spans="1:10" x14ac:dyDescent="0.3">
      <c r="A731" t="s">
        <v>1504</v>
      </c>
      <c r="B731" t="s">
        <v>19</v>
      </c>
      <c r="C731" t="s">
        <v>28</v>
      </c>
      <c r="D731">
        <v>2</v>
      </c>
      <c r="E731">
        <v>24.85</v>
      </c>
      <c r="F731" t="str">
        <f t="shared" si="22"/>
        <v>2024-11</v>
      </c>
      <c r="G731">
        <f t="shared" si="23"/>
        <v>49.7</v>
      </c>
      <c r="H731" s="2">
        <v>45623.857630524908</v>
      </c>
      <c r="I731" t="s">
        <v>31</v>
      </c>
      <c r="J731" t="s">
        <v>1505</v>
      </c>
    </row>
    <row r="732" spans="1:10" x14ac:dyDescent="0.3">
      <c r="A732" t="s">
        <v>1506</v>
      </c>
      <c r="B732" t="s">
        <v>19</v>
      </c>
      <c r="C732" t="s">
        <v>28</v>
      </c>
      <c r="D732">
        <v>3</v>
      </c>
      <c r="E732">
        <v>38.82</v>
      </c>
      <c r="F732" t="str">
        <f t="shared" si="22"/>
        <v>2024-06</v>
      </c>
      <c r="G732">
        <f t="shared" si="23"/>
        <v>116.46000000000001</v>
      </c>
      <c r="H732" s="2">
        <v>45469.857630524908</v>
      </c>
      <c r="I732" t="s">
        <v>32</v>
      </c>
      <c r="J732" t="s">
        <v>1507</v>
      </c>
    </row>
    <row r="733" spans="1:10" x14ac:dyDescent="0.3">
      <c r="A733" t="s">
        <v>1508</v>
      </c>
      <c r="B733" t="s">
        <v>21</v>
      </c>
      <c r="C733" t="s">
        <v>30</v>
      </c>
      <c r="D733">
        <v>2</v>
      </c>
      <c r="E733">
        <v>43.53</v>
      </c>
      <c r="F733" t="str">
        <f t="shared" si="22"/>
        <v>2024-05</v>
      </c>
      <c r="G733">
        <f t="shared" si="23"/>
        <v>87.06</v>
      </c>
      <c r="H733" s="2">
        <v>45413.857630524908</v>
      </c>
      <c r="I733" t="s">
        <v>34</v>
      </c>
      <c r="J733" t="s">
        <v>1509</v>
      </c>
    </row>
    <row r="734" spans="1:10" x14ac:dyDescent="0.3">
      <c r="A734" t="s">
        <v>1510</v>
      </c>
      <c r="B734" t="s">
        <v>18</v>
      </c>
      <c r="C734" t="s">
        <v>29</v>
      </c>
      <c r="D734">
        <v>4</v>
      </c>
      <c r="E734">
        <v>58.58</v>
      </c>
      <c r="F734" t="str">
        <f t="shared" si="22"/>
        <v>2024-12</v>
      </c>
      <c r="G734">
        <f t="shared" si="23"/>
        <v>234.32</v>
      </c>
      <c r="H734" s="2">
        <v>45656.857630524908</v>
      </c>
      <c r="I734" t="s">
        <v>34</v>
      </c>
      <c r="J734" t="s">
        <v>1511</v>
      </c>
    </row>
    <row r="735" spans="1:10" x14ac:dyDescent="0.3">
      <c r="A735" t="s">
        <v>1512</v>
      </c>
      <c r="B735" t="s">
        <v>18</v>
      </c>
      <c r="C735" t="s">
        <v>29</v>
      </c>
      <c r="D735">
        <v>4</v>
      </c>
      <c r="E735">
        <v>35.46</v>
      </c>
      <c r="F735" t="str">
        <f t="shared" si="22"/>
        <v>2025-01</v>
      </c>
      <c r="G735">
        <f t="shared" si="23"/>
        <v>141.84</v>
      </c>
      <c r="H735" s="2">
        <v>45683.857630524908</v>
      </c>
      <c r="I735" t="s">
        <v>32</v>
      </c>
      <c r="J735" t="s">
        <v>1513</v>
      </c>
    </row>
    <row r="736" spans="1:10" x14ac:dyDescent="0.3">
      <c r="A736" t="s">
        <v>1514</v>
      </c>
      <c r="B736" t="s">
        <v>16</v>
      </c>
      <c r="C736" t="s">
        <v>29</v>
      </c>
      <c r="D736">
        <v>2</v>
      </c>
      <c r="E736">
        <v>30.4</v>
      </c>
      <c r="F736" t="str">
        <f t="shared" si="22"/>
        <v>2025-03</v>
      </c>
      <c r="G736">
        <f t="shared" si="23"/>
        <v>60.8</v>
      </c>
      <c r="H736" s="2">
        <v>45736.857630524908</v>
      </c>
      <c r="I736" t="s">
        <v>32</v>
      </c>
      <c r="J736" t="s">
        <v>1515</v>
      </c>
    </row>
    <row r="737" spans="1:10" x14ac:dyDescent="0.3">
      <c r="A737" t="s">
        <v>1516</v>
      </c>
      <c r="B737" t="s">
        <v>22</v>
      </c>
      <c r="C737" t="s">
        <v>30</v>
      </c>
      <c r="D737">
        <v>3</v>
      </c>
      <c r="E737">
        <v>27.64</v>
      </c>
      <c r="F737" t="str">
        <f t="shared" si="22"/>
        <v>2025-02</v>
      </c>
      <c r="G737">
        <f t="shared" si="23"/>
        <v>82.92</v>
      </c>
      <c r="H737" s="2">
        <v>45699.857630524908</v>
      </c>
      <c r="I737" t="s">
        <v>35</v>
      </c>
      <c r="J737" t="s">
        <v>1517</v>
      </c>
    </row>
    <row r="738" spans="1:10" x14ac:dyDescent="0.3">
      <c r="A738" t="s">
        <v>1518</v>
      </c>
      <c r="B738" t="s">
        <v>21</v>
      </c>
      <c r="C738" t="s">
        <v>30</v>
      </c>
      <c r="D738">
        <v>3</v>
      </c>
      <c r="E738">
        <v>25.98</v>
      </c>
      <c r="F738" t="str">
        <f t="shared" si="22"/>
        <v>2025-01</v>
      </c>
      <c r="G738">
        <f t="shared" si="23"/>
        <v>77.94</v>
      </c>
      <c r="H738" s="2">
        <v>45673.857630524908</v>
      </c>
      <c r="I738" t="s">
        <v>33</v>
      </c>
      <c r="J738" t="s">
        <v>1519</v>
      </c>
    </row>
    <row r="739" spans="1:10" x14ac:dyDescent="0.3">
      <c r="A739" t="s">
        <v>1520</v>
      </c>
      <c r="B739" t="s">
        <v>27</v>
      </c>
      <c r="C739" t="s">
        <v>28</v>
      </c>
      <c r="D739">
        <v>2</v>
      </c>
      <c r="E739">
        <v>50.68</v>
      </c>
      <c r="F739" t="str">
        <f t="shared" si="22"/>
        <v>2024-12</v>
      </c>
      <c r="G739">
        <f t="shared" si="23"/>
        <v>101.36</v>
      </c>
      <c r="H739" s="2">
        <v>45648.857630524908</v>
      </c>
      <c r="I739" t="s">
        <v>31</v>
      </c>
      <c r="J739" t="s">
        <v>1521</v>
      </c>
    </row>
    <row r="740" spans="1:10" x14ac:dyDescent="0.3">
      <c r="A740" t="s">
        <v>1522</v>
      </c>
      <c r="B740" t="s">
        <v>22</v>
      </c>
      <c r="C740" t="s">
        <v>30</v>
      </c>
      <c r="D740">
        <v>1</v>
      </c>
      <c r="E740">
        <v>23.46</v>
      </c>
      <c r="F740" t="str">
        <f t="shared" si="22"/>
        <v>2024-10</v>
      </c>
      <c r="G740">
        <f t="shared" si="23"/>
        <v>23.46</v>
      </c>
      <c r="H740" s="2">
        <v>45566.857630524908</v>
      </c>
      <c r="I740" t="s">
        <v>31</v>
      </c>
      <c r="J740" t="s">
        <v>1523</v>
      </c>
    </row>
    <row r="741" spans="1:10" x14ac:dyDescent="0.3">
      <c r="A741" t="s">
        <v>1524</v>
      </c>
      <c r="B741" t="s">
        <v>19</v>
      </c>
      <c r="C741" t="s">
        <v>28</v>
      </c>
      <c r="D741">
        <v>4</v>
      </c>
      <c r="E741">
        <v>41.64</v>
      </c>
      <c r="F741" t="str">
        <f t="shared" si="22"/>
        <v>2025-01</v>
      </c>
      <c r="G741">
        <f t="shared" si="23"/>
        <v>166.56</v>
      </c>
      <c r="H741" s="2">
        <v>45686.857630524908</v>
      </c>
      <c r="I741" t="s">
        <v>31</v>
      </c>
      <c r="J741" t="s">
        <v>1525</v>
      </c>
    </row>
    <row r="742" spans="1:10" x14ac:dyDescent="0.3">
      <c r="A742" t="s">
        <v>1526</v>
      </c>
      <c r="B742" t="s">
        <v>19</v>
      </c>
      <c r="C742" t="s">
        <v>28</v>
      </c>
      <c r="D742">
        <v>5</v>
      </c>
      <c r="E742">
        <v>15.62</v>
      </c>
      <c r="F742" t="str">
        <f t="shared" si="22"/>
        <v>2024-12</v>
      </c>
      <c r="G742">
        <f t="shared" si="23"/>
        <v>78.099999999999994</v>
      </c>
      <c r="H742" s="2">
        <v>45638.857630524908</v>
      </c>
      <c r="I742" t="s">
        <v>34</v>
      </c>
      <c r="J742" t="s">
        <v>1527</v>
      </c>
    </row>
    <row r="743" spans="1:10" x14ac:dyDescent="0.3">
      <c r="A743" t="s">
        <v>1528</v>
      </c>
      <c r="B743" t="s">
        <v>20</v>
      </c>
      <c r="C743" t="s">
        <v>30</v>
      </c>
      <c r="D743">
        <v>4</v>
      </c>
      <c r="E743">
        <v>10.78</v>
      </c>
      <c r="F743" t="str">
        <f t="shared" si="22"/>
        <v>2024-11</v>
      </c>
      <c r="G743">
        <f t="shared" si="23"/>
        <v>43.12</v>
      </c>
      <c r="H743" s="2">
        <v>45606.857630524908</v>
      </c>
      <c r="I743" t="s">
        <v>31</v>
      </c>
      <c r="J743" t="s">
        <v>1529</v>
      </c>
    </row>
    <row r="744" spans="1:10" x14ac:dyDescent="0.3">
      <c r="A744" t="s">
        <v>1530</v>
      </c>
      <c r="B744" t="s">
        <v>21</v>
      </c>
      <c r="C744" t="s">
        <v>30</v>
      </c>
      <c r="D744">
        <v>1</v>
      </c>
      <c r="E744">
        <v>56.6</v>
      </c>
      <c r="F744" t="str">
        <f t="shared" si="22"/>
        <v>2025-03</v>
      </c>
      <c r="G744">
        <f t="shared" si="23"/>
        <v>56.6</v>
      </c>
      <c r="H744" s="2">
        <v>45735.857630524908</v>
      </c>
      <c r="I744" t="s">
        <v>33</v>
      </c>
      <c r="J744" t="s">
        <v>1531</v>
      </c>
    </row>
    <row r="745" spans="1:10" x14ac:dyDescent="0.3">
      <c r="A745" t="s">
        <v>1532</v>
      </c>
      <c r="B745" t="s">
        <v>21</v>
      </c>
      <c r="C745" t="s">
        <v>30</v>
      </c>
      <c r="D745">
        <v>3</v>
      </c>
      <c r="E745">
        <v>32.08</v>
      </c>
      <c r="F745" t="str">
        <f t="shared" si="22"/>
        <v>2024-11</v>
      </c>
      <c r="G745">
        <f t="shared" si="23"/>
        <v>96.24</v>
      </c>
      <c r="H745" s="2">
        <v>45600.857630524908</v>
      </c>
      <c r="I745" t="s">
        <v>32</v>
      </c>
      <c r="J745" t="s">
        <v>1533</v>
      </c>
    </row>
    <row r="746" spans="1:10" x14ac:dyDescent="0.3">
      <c r="A746" t="s">
        <v>1534</v>
      </c>
      <c r="B746" t="s">
        <v>20</v>
      </c>
      <c r="C746" t="s">
        <v>30</v>
      </c>
      <c r="D746">
        <v>4</v>
      </c>
      <c r="E746">
        <v>34.130000000000003</v>
      </c>
      <c r="F746" t="str">
        <f t="shared" si="22"/>
        <v>2025-03</v>
      </c>
      <c r="G746">
        <f t="shared" si="23"/>
        <v>136.52000000000001</v>
      </c>
      <c r="H746" s="2">
        <v>45727.857630524908</v>
      </c>
      <c r="I746" t="s">
        <v>31</v>
      </c>
      <c r="J746" t="s">
        <v>1535</v>
      </c>
    </row>
    <row r="747" spans="1:10" x14ac:dyDescent="0.3">
      <c r="A747" t="s">
        <v>1536</v>
      </c>
      <c r="B747" t="s">
        <v>24</v>
      </c>
      <c r="C747" t="s">
        <v>28</v>
      </c>
      <c r="D747">
        <v>4</v>
      </c>
      <c r="E747">
        <v>51.41</v>
      </c>
      <c r="F747" t="str">
        <f t="shared" si="22"/>
        <v>2025-03</v>
      </c>
      <c r="G747">
        <f t="shared" si="23"/>
        <v>205.64</v>
      </c>
      <c r="H747" s="2">
        <v>45741.857630524908</v>
      </c>
      <c r="I747" t="s">
        <v>32</v>
      </c>
      <c r="J747" t="s">
        <v>1537</v>
      </c>
    </row>
    <row r="748" spans="1:10" x14ac:dyDescent="0.3">
      <c r="A748" t="s">
        <v>1538</v>
      </c>
      <c r="B748" t="s">
        <v>27</v>
      </c>
      <c r="C748" t="s">
        <v>28</v>
      </c>
      <c r="D748">
        <v>4</v>
      </c>
      <c r="E748">
        <v>47.1</v>
      </c>
      <c r="F748" t="str">
        <f t="shared" si="22"/>
        <v>2025-03</v>
      </c>
      <c r="G748">
        <f t="shared" si="23"/>
        <v>188.4</v>
      </c>
      <c r="H748" s="2">
        <v>45738.857630524908</v>
      </c>
      <c r="I748" t="s">
        <v>34</v>
      </c>
      <c r="J748" t="s">
        <v>1539</v>
      </c>
    </row>
    <row r="749" spans="1:10" x14ac:dyDescent="0.3">
      <c r="A749" t="s">
        <v>1540</v>
      </c>
      <c r="B749" t="s">
        <v>24</v>
      </c>
      <c r="C749" t="s">
        <v>28</v>
      </c>
      <c r="D749">
        <v>1</v>
      </c>
      <c r="E749">
        <v>51.51</v>
      </c>
      <c r="F749" t="str">
        <f t="shared" si="22"/>
        <v>2024-08</v>
      </c>
      <c r="G749">
        <f t="shared" si="23"/>
        <v>51.51</v>
      </c>
      <c r="H749" s="2">
        <v>45529.857630524908</v>
      </c>
      <c r="I749" t="s">
        <v>35</v>
      </c>
      <c r="J749" t="s">
        <v>1541</v>
      </c>
    </row>
    <row r="750" spans="1:10" x14ac:dyDescent="0.3">
      <c r="A750" t="s">
        <v>1542</v>
      </c>
      <c r="B750" t="s">
        <v>16</v>
      </c>
      <c r="C750" t="s">
        <v>29</v>
      </c>
      <c r="D750">
        <v>2</v>
      </c>
      <c r="E750">
        <v>50.39</v>
      </c>
      <c r="F750" t="str">
        <f t="shared" si="22"/>
        <v>2024-09</v>
      </c>
      <c r="G750">
        <f t="shared" si="23"/>
        <v>100.78</v>
      </c>
      <c r="H750" s="2">
        <v>45539.857630524908</v>
      </c>
      <c r="I750" t="s">
        <v>33</v>
      </c>
      <c r="J750" t="s">
        <v>1543</v>
      </c>
    </row>
    <row r="751" spans="1:10" x14ac:dyDescent="0.3">
      <c r="A751" t="s">
        <v>1544</v>
      </c>
      <c r="B751" t="s">
        <v>24</v>
      </c>
      <c r="C751" t="s">
        <v>28</v>
      </c>
      <c r="D751">
        <v>2</v>
      </c>
      <c r="E751">
        <v>22.23</v>
      </c>
      <c r="F751" t="str">
        <f t="shared" si="22"/>
        <v>2024-11</v>
      </c>
      <c r="G751">
        <f t="shared" si="23"/>
        <v>44.46</v>
      </c>
      <c r="H751" s="2">
        <v>45616.857630524908</v>
      </c>
      <c r="I751" t="s">
        <v>32</v>
      </c>
      <c r="J751" t="s">
        <v>1545</v>
      </c>
    </row>
    <row r="752" spans="1:10" x14ac:dyDescent="0.3">
      <c r="A752" t="s">
        <v>1546</v>
      </c>
      <c r="B752" t="s">
        <v>17</v>
      </c>
      <c r="C752" t="s">
        <v>29</v>
      </c>
      <c r="D752">
        <v>4</v>
      </c>
      <c r="E752">
        <v>38.69</v>
      </c>
      <c r="F752" t="str">
        <f t="shared" si="22"/>
        <v>2024-05</v>
      </c>
      <c r="G752">
        <f t="shared" si="23"/>
        <v>154.76</v>
      </c>
      <c r="H752" s="2">
        <v>45443.857630524908</v>
      </c>
      <c r="I752" t="s">
        <v>34</v>
      </c>
      <c r="J752" t="s">
        <v>1547</v>
      </c>
    </row>
    <row r="753" spans="1:10" x14ac:dyDescent="0.3">
      <c r="A753" t="s">
        <v>1548</v>
      </c>
      <c r="B753" t="s">
        <v>16</v>
      </c>
      <c r="C753" t="s">
        <v>29</v>
      </c>
      <c r="D753">
        <v>3</v>
      </c>
      <c r="E753">
        <v>24.25</v>
      </c>
      <c r="F753" t="str">
        <f t="shared" si="22"/>
        <v>2025-03</v>
      </c>
      <c r="G753">
        <f t="shared" si="23"/>
        <v>72.75</v>
      </c>
      <c r="H753" s="2">
        <v>45737.857630524908</v>
      </c>
      <c r="I753" t="s">
        <v>32</v>
      </c>
      <c r="J753" t="s">
        <v>1549</v>
      </c>
    </row>
    <row r="754" spans="1:10" x14ac:dyDescent="0.3">
      <c r="A754" t="s">
        <v>1550</v>
      </c>
      <c r="B754" t="s">
        <v>18</v>
      </c>
      <c r="C754" t="s">
        <v>29</v>
      </c>
      <c r="D754">
        <v>3</v>
      </c>
      <c r="E754">
        <v>22</v>
      </c>
      <c r="F754" t="str">
        <f t="shared" si="22"/>
        <v>2024-09</v>
      </c>
      <c r="G754">
        <f t="shared" si="23"/>
        <v>66</v>
      </c>
      <c r="H754" s="2">
        <v>45556.857630524908</v>
      </c>
      <c r="I754" t="s">
        <v>31</v>
      </c>
      <c r="J754" t="s">
        <v>1551</v>
      </c>
    </row>
    <row r="755" spans="1:10" x14ac:dyDescent="0.3">
      <c r="A755" t="s">
        <v>1552</v>
      </c>
      <c r="B755" t="s">
        <v>25</v>
      </c>
      <c r="C755" t="s">
        <v>30</v>
      </c>
      <c r="D755">
        <v>4</v>
      </c>
      <c r="E755">
        <v>55.76</v>
      </c>
      <c r="F755" t="str">
        <f t="shared" si="22"/>
        <v>2025-02</v>
      </c>
      <c r="G755">
        <f t="shared" si="23"/>
        <v>223.04</v>
      </c>
      <c r="H755" s="2">
        <v>45702.857630524908</v>
      </c>
      <c r="I755" t="s">
        <v>35</v>
      </c>
      <c r="J755" t="s">
        <v>1553</v>
      </c>
    </row>
    <row r="756" spans="1:10" x14ac:dyDescent="0.3">
      <c r="A756" t="s">
        <v>1554</v>
      </c>
      <c r="B756" t="s">
        <v>17</v>
      </c>
      <c r="C756" t="s">
        <v>29</v>
      </c>
      <c r="D756">
        <v>2</v>
      </c>
      <c r="E756">
        <v>59.59</v>
      </c>
      <c r="F756" t="str">
        <f t="shared" si="22"/>
        <v>2025-02</v>
      </c>
      <c r="G756">
        <f t="shared" si="23"/>
        <v>119.18</v>
      </c>
      <c r="H756" s="2">
        <v>45713.857630524908</v>
      </c>
      <c r="I756" t="s">
        <v>31</v>
      </c>
      <c r="J756" t="s">
        <v>1555</v>
      </c>
    </row>
    <row r="757" spans="1:10" x14ac:dyDescent="0.3">
      <c r="A757" t="s">
        <v>1556</v>
      </c>
      <c r="B757" t="s">
        <v>22</v>
      </c>
      <c r="C757" t="s">
        <v>30</v>
      </c>
      <c r="D757">
        <v>4</v>
      </c>
      <c r="E757">
        <v>49.29</v>
      </c>
      <c r="F757" t="str">
        <f t="shared" si="22"/>
        <v>2024-06</v>
      </c>
      <c r="G757">
        <f t="shared" si="23"/>
        <v>197.16</v>
      </c>
      <c r="H757" s="2">
        <v>45462.857630524908</v>
      </c>
      <c r="I757" t="s">
        <v>35</v>
      </c>
      <c r="J757" t="s">
        <v>1557</v>
      </c>
    </row>
    <row r="758" spans="1:10" x14ac:dyDescent="0.3">
      <c r="A758" t="s">
        <v>1558</v>
      </c>
      <c r="B758" t="s">
        <v>23</v>
      </c>
      <c r="C758" t="s">
        <v>28</v>
      </c>
      <c r="D758">
        <v>1</v>
      </c>
      <c r="E758">
        <v>52.5</v>
      </c>
      <c r="F758" t="str">
        <f t="shared" si="22"/>
        <v>2025-03</v>
      </c>
      <c r="G758">
        <f t="shared" si="23"/>
        <v>52.5</v>
      </c>
      <c r="H758" s="2">
        <v>45718.857630524908</v>
      </c>
      <c r="I758" t="s">
        <v>32</v>
      </c>
      <c r="J758" t="s">
        <v>1559</v>
      </c>
    </row>
    <row r="759" spans="1:10" x14ac:dyDescent="0.3">
      <c r="A759" t="s">
        <v>1560</v>
      </c>
      <c r="B759" t="s">
        <v>16</v>
      </c>
      <c r="C759" t="s">
        <v>29</v>
      </c>
      <c r="D759">
        <v>2</v>
      </c>
      <c r="E759">
        <v>26.77</v>
      </c>
      <c r="F759" t="str">
        <f t="shared" si="22"/>
        <v>2025-01</v>
      </c>
      <c r="G759">
        <f t="shared" si="23"/>
        <v>53.54</v>
      </c>
      <c r="H759" s="2">
        <v>45660.857630524908</v>
      </c>
      <c r="I759" t="s">
        <v>34</v>
      </c>
      <c r="J759" t="s">
        <v>1561</v>
      </c>
    </row>
    <row r="760" spans="1:10" x14ac:dyDescent="0.3">
      <c r="A760" t="s">
        <v>1562</v>
      </c>
      <c r="B760" t="s">
        <v>27</v>
      </c>
      <c r="C760" t="s">
        <v>28</v>
      </c>
      <c r="D760">
        <v>2</v>
      </c>
      <c r="E760">
        <v>29.25</v>
      </c>
      <c r="F760" t="str">
        <f t="shared" si="22"/>
        <v>2025-01</v>
      </c>
      <c r="G760">
        <f t="shared" si="23"/>
        <v>58.5</v>
      </c>
      <c r="H760" s="2">
        <v>45673.857630524908</v>
      </c>
      <c r="I760" t="s">
        <v>34</v>
      </c>
      <c r="J760" t="s">
        <v>1563</v>
      </c>
    </row>
    <row r="761" spans="1:10" x14ac:dyDescent="0.3">
      <c r="A761" t="s">
        <v>1564</v>
      </c>
      <c r="B761" t="s">
        <v>23</v>
      </c>
      <c r="C761" t="s">
        <v>28</v>
      </c>
      <c r="D761">
        <v>1</v>
      </c>
      <c r="E761">
        <v>44.44</v>
      </c>
      <c r="F761" t="str">
        <f t="shared" si="22"/>
        <v>2025-02</v>
      </c>
      <c r="G761">
        <f t="shared" si="23"/>
        <v>44.44</v>
      </c>
      <c r="H761" s="2">
        <v>45710.857630524908</v>
      </c>
      <c r="I761" t="s">
        <v>34</v>
      </c>
      <c r="J761" t="s">
        <v>1565</v>
      </c>
    </row>
    <row r="762" spans="1:10" x14ac:dyDescent="0.3">
      <c r="A762" t="s">
        <v>1566</v>
      </c>
      <c r="B762" t="s">
        <v>18</v>
      </c>
      <c r="C762" t="s">
        <v>29</v>
      </c>
      <c r="D762">
        <v>1</v>
      </c>
      <c r="E762">
        <v>30.45</v>
      </c>
      <c r="F762" t="str">
        <f t="shared" si="22"/>
        <v>2025-01</v>
      </c>
      <c r="G762">
        <f t="shared" si="23"/>
        <v>30.45</v>
      </c>
      <c r="H762" s="2">
        <v>45668.857630524908</v>
      </c>
      <c r="I762" t="s">
        <v>34</v>
      </c>
      <c r="J762" t="s">
        <v>1567</v>
      </c>
    </row>
    <row r="763" spans="1:10" x14ac:dyDescent="0.3">
      <c r="A763" t="s">
        <v>1568</v>
      </c>
      <c r="B763" t="s">
        <v>23</v>
      </c>
      <c r="C763" t="s">
        <v>28</v>
      </c>
      <c r="D763">
        <v>4</v>
      </c>
      <c r="E763">
        <v>15.04</v>
      </c>
      <c r="F763" t="str">
        <f t="shared" si="22"/>
        <v>2025-04</v>
      </c>
      <c r="G763">
        <f t="shared" si="23"/>
        <v>60.16</v>
      </c>
      <c r="H763" s="2">
        <v>45749.857630524908</v>
      </c>
      <c r="I763" t="s">
        <v>31</v>
      </c>
      <c r="J763" t="s">
        <v>1569</v>
      </c>
    </row>
    <row r="764" spans="1:10" x14ac:dyDescent="0.3">
      <c r="A764" t="s">
        <v>1570</v>
      </c>
      <c r="B764" t="s">
        <v>24</v>
      </c>
      <c r="C764" t="s">
        <v>28</v>
      </c>
      <c r="D764">
        <v>4</v>
      </c>
      <c r="E764">
        <v>28.14</v>
      </c>
      <c r="F764" t="str">
        <f t="shared" si="22"/>
        <v>2024-07</v>
      </c>
      <c r="G764">
        <f t="shared" si="23"/>
        <v>112.56</v>
      </c>
      <c r="H764" s="2">
        <v>45492.857630524908</v>
      </c>
      <c r="I764" t="s">
        <v>31</v>
      </c>
      <c r="J764" t="s">
        <v>1571</v>
      </c>
    </row>
    <row r="765" spans="1:10" x14ac:dyDescent="0.3">
      <c r="A765" t="s">
        <v>1572</v>
      </c>
      <c r="B765" t="s">
        <v>16</v>
      </c>
      <c r="C765" t="s">
        <v>29</v>
      </c>
      <c r="D765">
        <v>2</v>
      </c>
      <c r="E765">
        <v>53.15</v>
      </c>
      <c r="F765" t="str">
        <f t="shared" si="22"/>
        <v>2024-05</v>
      </c>
      <c r="G765">
        <f t="shared" si="23"/>
        <v>106.3</v>
      </c>
      <c r="H765" s="2">
        <v>45413.857630524908</v>
      </c>
      <c r="I765" t="s">
        <v>33</v>
      </c>
      <c r="J765" t="s">
        <v>1573</v>
      </c>
    </row>
    <row r="766" spans="1:10" x14ac:dyDescent="0.3">
      <c r="A766" t="s">
        <v>1574</v>
      </c>
      <c r="B766" t="s">
        <v>17</v>
      </c>
      <c r="C766" t="s">
        <v>29</v>
      </c>
      <c r="D766">
        <v>4</v>
      </c>
      <c r="E766">
        <v>36.520000000000003</v>
      </c>
      <c r="F766" t="str">
        <f t="shared" si="22"/>
        <v>2024-09</v>
      </c>
      <c r="G766">
        <f t="shared" si="23"/>
        <v>146.08000000000001</v>
      </c>
      <c r="H766" s="2">
        <v>45558.857630524908</v>
      </c>
      <c r="I766" t="s">
        <v>32</v>
      </c>
      <c r="J766" t="s">
        <v>1575</v>
      </c>
    </row>
    <row r="767" spans="1:10" x14ac:dyDescent="0.3">
      <c r="A767" t="s">
        <v>1576</v>
      </c>
      <c r="B767" t="s">
        <v>23</v>
      </c>
      <c r="C767" t="s">
        <v>28</v>
      </c>
      <c r="D767">
        <v>2</v>
      </c>
      <c r="E767">
        <v>23.49</v>
      </c>
      <c r="F767" t="str">
        <f t="shared" si="22"/>
        <v>2024-09</v>
      </c>
      <c r="G767">
        <f t="shared" si="23"/>
        <v>46.98</v>
      </c>
      <c r="H767" s="2">
        <v>45563.857630524908</v>
      </c>
      <c r="I767" t="s">
        <v>32</v>
      </c>
      <c r="J767" t="s">
        <v>1577</v>
      </c>
    </row>
    <row r="768" spans="1:10" x14ac:dyDescent="0.3">
      <c r="A768" t="s">
        <v>1578</v>
      </c>
      <c r="B768" t="s">
        <v>17</v>
      </c>
      <c r="C768" t="s">
        <v>29</v>
      </c>
      <c r="D768">
        <v>3</v>
      </c>
      <c r="E768">
        <v>15.52</v>
      </c>
      <c r="F768" t="str">
        <f t="shared" si="22"/>
        <v>2024-08</v>
      </c>
      <c r="G768">
        <f t="shared" si="23"/>
        <v>46.56</v>
      </c>
      <c r="H768" s="2">
        <v>45525.857630524908</v>
      </c>
      <c r="I768" t="s">
        <v>35</v>
      </c>
      <c r="J768" t="s">
        <v>1579</v>
      </c>
    </row>
    <row r="769" spans="1:10" x14ac:dyDescent="0.3">
      <c r="A769" t="s">
        <v>1580</v>
      </c>
      <c r="B769" t="s">
        <v>18</v>
      </c>
      <c r="C769" t="s">
        <v>29</v>
      </c>
      <c r="D769">
        <v>1</v>
      </c>
      <c r="E769">
        <v>48.98</v>
      </c>
      <c r="F769" t="str">
        <f t="shared" si="22"/>
        <v>2024-04</v>
      </c>
      <c r="G769">
        <f t="shared" si="23"/>
        <v>48.98</v>
      </c>
      <c r="H769" s="2">
        <v>45398.857630524908</v>
      </c>
      <c r="I769" t="s">
        <v>33</v>
      </c>
      <c r="J769" t="s">
        <v>1581</v>
      </c>
    </row>
    <row r="770" spans="1:10" x14ac:dyDescent="0.3">
      <c r="A770" t="s">
        <v>1582</v>
      </c>
      <c r="B770" t="s">
        <v>24</v>
      </c>
      <c r="C770" t="s">
        <v>28</v>
      </c>
      <c r="D770">
        <v>1</v>
      </c>
      <c r="E770">
        <v>13.67</v>
      </c>
      <c r="F770" t="str">
        <f t="shared" si="22"/>
        <v>2024-06</v>
      </c>
      <c r="G770">
        <f t="shared" si="23"/>
        <v>13.67</v>
      </c>
      <c r="H770" s="2">
        <v>45466.857630524908</v>
      </c>
      <c r="I770" t="s">
        <v>31</v>
      </c>
      <c r="J770" t="s">
        <v>1583</v>
      </c>
    </row>
    <row r="771" spans="1:10" x14ac:dyDescent="0.3">
      <c r="A771" t="s">
        <v>1584</v>
      </c>
      <c r="B771" t="s">
        <v>17</v>
      </c>
      <c r="C771" t="s">
        <v>29</v>
      </c>
      <c r="D771">
        <v>3</v>
      </c>
      <c r="E771">
        <v>44.25</v>
      </c>
      <c r="F771" t="str">
        <f t="shared" ref="F771:F834" si="24">TEXT(H771, "yyyy-mm")</f>
        <v>2025-03</v>
      </c>
      <c r="G771">
        <f t="shared" ref="G771:G834" si="25">D771*E771</f>
        <v>132.75</v>
      </c>
      <c r="H771" s="2">
        <v>45745.857630524908</v>
      </c>
      <c r="I771" t="s">
        <v>34</v>
      </c>
      <c r="J771" t="s">
        <v>1585</v>
      </c>
    </row>
    <row r="772" spans="1:10" x14ac:dyDescent="0.3">
      <c r="A772" t="s">
        <v>1586</v>
      </c>
      <c r="B772" t="s">
        <v>25</v>
      </c>
      <c r="C772" t="s">
        <v>30</v>
      </c>
      <c r="D772">
        <v>2</v>
      </c>
      <c r="E772">
        <v>59.84</v>
      </c>
      <c r="F772" t="str">
        <f t="shared" si="24"/>
        <v>2024-06</v>
      </c>
      <c r="G772">
        <f t="shared" si="25"/>
        <v>119.68</v>
      </c>
      <c r="H772" s="2">
        <v>45462.857630524908</v>
      </c>
      <c r="I772" t="s">
        <v>34</v>
      </c>
      <c r="J772" t="s">
        <v>1587</v>
      </c>
    </row>
    <row r="773" spans="1:10" x14ac:dyDescent="0.3">
      <c r="A773" t="s">
        <v>1588</v>
      </c>
      <c r="B773" t="s">
        <v>24</v>
      </c>
      <c r="C773" t="s">
        <v>28</v>
      </c>
      <c r="D773">
        <v>5</v>
      </c>
      <c r="E773">
        <v>43.03</v>
      </c>
      <c r="F773" t="str">
        <f t="shared" si="24"/>
        <v>2024-10</v>
      </c>
      <c r="G773">
        <f t="shared" si="25"/>
        <v>215.15</v>
      </c>
      <c r="H773" s="2">
        <v>45586.857630524908</v>
      </c>
      <c r="I773" t="s">
        <v>35</v>
      </c>
      <c r="J773" t="s">
        <v>1589</v>
      </c>
    </row>
    <row r="774" spans="1:10" x14ac:dyDescent="0.3">
      <c r="A774" t="s">
        <v>1590</v>
      </c>
      <c r="B774" t="s">
        <v>18</v>
      </c>
      <c r="C774" t="s">
        <v>29</v>
      </c>
      <c r="D774">
        <v>4</v>
      </c>
      <c r="E774">
        <v>57.12</v>
      </c>
      <c r="F774" t="str">
        <f t="shared" si="24"/>
        <v>2024-09</v>
      </c>
      <c r="G774">
        <f t="shared" si="25"/>
        <v>228.48</v>
      </c>
      <c r="H774" s="2">
        <v>45547.857630524908</v>
      </c>
      <c r="I774" t="s">
        <v>34</v>
      </c>
      <c r="J774" t="s">
        <v>1591</v>
      </c>
    </row>
    <row r="775" spans="1:10" x14ac:dyDescent="0.3">
      <c r="A775" t="s">
        <v>1592</v>
      </c>
      <c r="B775" t="s">
        <v>20</v>
      </c>
      <c r="C775" t="s">
        <v>30</v>
      </c>
      <c r="D775">
        <v>2</v>
      </c>
      <c r="E775">
        <v>21.27</v>
      </c>
      <c r="F775" t="str">
        <f t="shared" si="24"/>
        <v>2024-11</v>
      </c>
      <c r="G775">
        <f t="shared" si="25"/>
        <v>42.54</v>
      </c>
      <c r="H775" s="2">
        <v>45621.857630524908</v>
      </c>
      <c r="I775" t="s">
        <v>34</v>
      </c>
      <c r="J775" t="s">
        <v>1593</v>
      </c>
    </row>
    <row r="776" spans="1:10" x14ac:dyDescent="0.3">
      <c r="A776" t="s">
        <v>1594</v>
      </c>
      <c r="B776" t="s">
        <v>22</v>
      </c>
      <c r="C776" t="s">
        <v>30</v>
      </c>
      <c r="D776">
        <v>3</v>
      </c>
      <c r="E776">
        <v>15.04</v>
      </c>
      <c r="F776" t="str">
        <f t="shared" si="24"/>
        <v>2025-03</v>
      </c>
      <c r="G776">
        <f t="shared" si="25"/>
        <v>45.12</v>
      </c>
      <c r="H776" s="2">
        <v>45739.857630524908</v>
      </c>
      <c r="I776" t="s">
        <v>33</v>
      </c>
      <c r="J776" t="s">
        <v>1595</v>
      </c>
    </row>
    <row r="777" spans="1:10" x14ac:dyDescent="0.3">
      <c r="A777" t="s">
        <v>1596</v>
      </c>
      <c r="B777" t="s">
        <v>18</v>
      </c>
      <c r="C777" t="s">
        <v>29</v>
      </c>
      <c r="D777">
        <v>5</v>
      </c>
      <c r="E777">
        <v>22.33</v>
      </c>
      <c r="F777" t="str">
        <f t="shared" si="24"/>
        <v>2024-05</v>
      </c>
      <c r="G777">
        <f t="shared" si="25"/>
        <v>111.64999999999999</v>
      </c>
      <c r="H777" s="2">
        <v>45439.857630524908</v>
      </c>
      <c r="I777" t="s">
        <v>32</v>
      </c>
      <c r="J777" t="s">
        <v>1597</v>
      </c>
    </row>
    <row r="778" spans="1:10" x14ac:dyDescent="0.3">
      <c r="A778" t="s">
        <v>1598</v>
      </c>
      <c r="B778" t="s">
        <v>16</v>
      </c>
      <c r="C778" t="s">
        <v>29</v>
      </c>
      <c r="D778">
        <v>4</v>
      </c>
      <c r="E778">
        <v>35.78</v>
      </c>
      <c r="F778" t="str">
        <f t="shared" si="24"/>
        <v>2024-07</v>
      </c>
      <c r="G778">
        <f t="shared" si="25"/>
        <v>143.12</v>
      </c>
      <c r="H778" s="2">
        <v>45502.857630524908</v>
      </c>
      <c r="I778" t="s">
        <v>33</v>
      </c>
      <c r="J778" t="s">
        <v>1599</v>
      </c>
    </row>
    <row r="779" spans="1:10" x14ac:dyDescent="0.3">
      <c r="A779" t="s">
        <v>1600</v>
      </c>
      <c r="B779" t="s">
        <v>18</v>
      </c>
      <c r="C779" t="s">
        <v>29</v>
      </c>
      <c r="D779">
        <v>4</v>
      </c>
      <c r="E779">
        <v>52.65</v>
      </c>
      <c r="F779" t="str">
        <f t="shared" si="24"/>
        <v>2024-12</v>
      </c>
      <c r="G779">
        <f t="shared" si="25"/>
        <v>210.6</v>
      </c>
      <c r="H779" s="2">
        <v>45647.857630524908</v>
      </c>
      <c r="I779" t="s">
        <v>31</v>
      </c>
      <c r="J779" t="s">
        <v>1601</v>
      </c>
    </row>
    <row r="780" spans="1:10" x14ac:dyDescent="0.3">
      <c r="A780" t="s">
        <v>1602</v>
      </c>
      <c r="B780" t="s">
        <v>18</v>
      </c>
      <c r="C780" t="s">
        <v>29</v>
      </c>
      <c r="D780">
        <v>4</v>
      </c>
      <c r="E780">
        <v>11.96</v>
      </c>
      <c r="F780" t="str">
        <f t="shared" si="24"/>
        <v>2024-06</v>
      </c>
      <c r="G780">
        <f t="shared" si="25"/>
        <v>47.84</v>
      </c>
      <c r="H780" s="2">
        <v>45446.857630524908</v>
      </c>
      <c r="I780" t="s">
        <v>35</v>
      </c>
      <c r="J780" t="s">
        <v>1603</v>
      </c>
    </row>
    <row r="781" spans="1:10" x14ac:dyDescent="0.3">
      <c r="A781" t="s">
        <v>1604</v>
      </c>
      <c r="B781" t="s">
        <v>22</v>
      </c>
      <c r="C781" t="s">
        <v>30</v>
      </c>
      <c r="D781">
        <v>2</v>
      </c>
      <c r="E781">
        <v>42.47</v>
      </c>
      <c r="F781" t="str">
        <f t="shared" si="24"/>
        <v>2024-04</v>
      </c>
      <c r="G781">
        <f t="shared" si="25"/>
        <v>84.94</v>
      </c>
      <c r="H781" s="2">
        <v>45403.857630524908</v>
      </c>
      <c r="I781" t="s">
        <v>34</v>
      </c>
      <c r="J781" t="s">
        <v>1605</v>
      </c>
    </row>
    <row r="782" spans="1:10" x14ac:dyDescent="0.3">
      <c r="A782" t="s">
        <v>1606</v>
      </c>
      <c r="B782" t="s">
        <v>18</v>
      </c>
      <c r="C782" t="s">
        <v>29</v>
      </c>
      <c r="D782">
        <v>5</v>
      </c>
      <c r="E782">
        <v>30.9</v>
      </c>
      <c r="F782" t="str">
        <f t="shared" si="24"/>
        <v>2024-05</v>
      </c>
      <c r="G782">
        <f t="shared" si="25"/>
        <v>154.5</v>
      </c>
      <c r="H782" s="2">
        <v>45424.857630524908</v>
      </c>
      <c r="I782" t="s">
        <v>33</v>
      </c>
      <c r="J782" t="s">
        <v>1607</v>
      </c>
    </row>
    <row r="783" spans="1:10" x14ac:dyDescent="0.3">
      <c r="A783" t="s">
        <v>1608</v>
      </c>
      <c r="B783" t="s">
        <v>26</v>
      </c>
      <c r="C783" t="s">
        <v>28</v>
      </c>
      <c r="D783">
        <v>4</v>
      </c>
      <c r="E783">
        <v>48.91</v>
      </c>
      <c r="F783" t="str">
        <f t="shared" si="24"/>
        <v>2025-02</v>
      </c>
      <c r="G783">
        <f t="shared" si="25"/>
        <v>195.64</v>
      </c>
      <c r="H783" s="2">
        <v>45712.857630524908</v>
      </c>
      <c r="I783" t="s">
        <v>31</v>
      </c>
      <c r="J783" t="s">
        <v>1609</v>
      </c>
    </row>
    <row r="784" spans="1:10" x14ac:dyDescent="0.3">
      <c r="A784" t="s">
        <v>1610</v>
      </c>
      <c r="B784" t="s">
        <v>23</v>
      </c>
      <c r="C784" t="s">
        <v>28</v>
      </c>
      <c r="D784">
        <v>5</v>
      </c>
      <c r="E784">
        <v>59.46</v>
      </c>
      <c r="F784" t="str">
        <f t="shared" si="24"/>
        <v>2024-11</v>
      </c>
      <c r="G784">
        <f t="shared" si="25"/>
        <v>297.3</v>
      </c>
      <c r="H784" s="2">
        <v>45610.857630524908</v>
      </c>
      <c r="I784" t="s">
        <v>31</v>
      </c>
      <c r="J784" t="s">
        <v>1611</v>
      </c>
    </row>
    <row r="785" spans="1:10" x14ac:dyDescent="0.3">
      <c r="A785" t="s">
        <v>1612</v>
      </c>
      <c r="B785" t="s">
        <v>21</v>
      </c>
      <c r="C785" t="s">
        <v>30</v>
      </c>
      <c r="D785">
        <v>3</v>
      </c>
      <c r="E785">
        <v>56.69</v>
      </c>
      <c r="F785" t="str">
        <f t="shared" si="24"/>
        <v>2024-05</v>
      </c>
      <c r="G785">
        <f t="shared" si="25"/>
        <v>170.07</v>
      </c>
      <c r="H785" s="2">
        <v>45419.857630524908</v>
      </c>
      <c r="I785" t="s">
        <v>31</v>
      </c>
      <c r="J785" t="s">
        <v>1613</v>
      </c>
    </row>
    <row r="786" spans="1:10" x14ac:dyDescent="0.3">
      <c r="A786" t="s">
        <v>1614</v>
      </c>
      <c r="B786" t="s">
        <v>24</v>
      </c>
      <c r="C786" t="s">
        <v>28</v>
      </c>
      <c r="D786">
        <v>2</v>
      </c>
      <c r="E786">
        <v>47.31</v>
      </c>
      <c r="F786" t="str">
        <f t="shared" si="24"/>
        <v>2024-06</v>
      </c>
      <c r="G786">
        <f t="shared" si="25"/>
        <v>94.62</v>
      </c>
      <c r="H786" s="2">
        <v>45455.857630524908</v>
      </c>
      <c r="I786" t="s">
        <v>35</v>
      </c>
      <c r="J786" t="s">
        <v>1615</v>
      </c>
    </row>
    <row r="787" spans="1:10" x14ac:dyDescent="0.3">
      <c r="A787" t="s">
        <v>1616</v>
      </c>
      <c r="B787" t="s">
        <v>25</v>
      </c>
      <c r="C787" t="s">
        <v>30</v>
      </c>
      <c r="D787">
        <v>3</v>
      </c>
      <c r="E787">
        <v>29.9</v>
      </c>
      <c r="F787" t="str">
        <f t="shared" si="24"/>
        <v>2025-03</v>
      </c>
      <c r="G787">
        <f t="shared" si="25"/>
        <v>89.699999999999989</v>
      </c>
      <c r="H787" s="2">
        <v>45743.857630524908</v>
      </c>
      <c r="I787" t="s">
        <v>35</v>
      </c>
      <c r="J787" t="s">
        <v>1617</v>
      </c>
    </row>
    <row r="788" spans="1:10" x14ac:dyDescent="0.3">
      <c r="A788" t="s">
        <v>1618</v>
      </c>
      <c r="B788" t="s">
        <v>24</v>
      </c>
      <c r="C788" t="s">
        <v>28</v>
      </c>
      <c r="D788">
        <v>4</v>
      </c>
      <c r="E788">
        <v>58.65</v>
      </c>
      <c r="F788" t="str">
        <f t="shared" si="24"/>
        <v>2025-01</v>
      </c>
      <c r="G788">
        <f t="shared" si="25"/>
        <v>234.6</v>
      </c>
      <c r="H788" s="2">
        <v>45672.857630524908</v>
      </c>
      <c r="I788" t="s">
        <v>31</v>
      </c>
      <c r="J788" t="s">
        <v>1619</v>
      </c>
    </row>
    <row r="789" spans="1:10" x14ac:dyDescent="0.3">
      <c r="A789" t="s">
        <v>1620</v>
      </c>
      <c r="B789" t="s">
        <v>25</v>
      </c>
      <c r="C789" t="s">
        <v>30</v>
      </c>
      <c r="D789">
        <v>2</v>
      </c>
      <c r="E789">
        <v>23</v>
      </c>
      <c r="F789" t="str">
        <f t="shared" si="24"/>
        <v>2024-12</v>
      </c>
      <c r="G789">
        <f t="shared" si="25"/>
        <v>46</v>
      </c>
      <c r="H789" s="2">
        <v>45627.857630524908</v>
      </c>
      <c r="I789" t="s">
        <v>35</v>
      </c>
      <c r="J789" t="s">
        <v>1621</v>
      </c>
    </row>
    <row r="790" spans="1:10" x14ac:dyDescent="0.3">
      <c r="A790" t="s">
        <v>1622</v>
      </c>
      <c r="B790" t="s">
        <v>20</v>
      </c>
      <c r="C790" t="s">
        <v>30</v>
      </c>
      <c r="D790">
        <v>1</v>
      </c>
      <c r="E790">
        <v>50.28</v>
      </c>
      <c r="F790" t="str">
        <f t="shared" si="24"/>
        <v>2025-03</v>
      </c>
      <c r="G790">
        <f t="shared" si="25"/>
        <v>50.28</v>
      </c>
      <c r="H790" s="2">
        <v>45740.857630524908</v>
      </c>
      <c r="I790" t="s">
        <v>33</v>
      </c>
      <c r="J790" t="s">
        <v>1623</v>
      </c>
    </row>
    <row r="791" spans="1:10" x14ac:dyDescent="0.3">
      <c r="A791" t="s">
        <v>1624</v>
      </c>
      <c r="B791" t="s">
        <v>16</v>
      </c>
      <c r="C791" t="s">
        <v>29</v>
      </c>
      <c r="D791">
        <v>2</v>
      </c>
      <c r="E791">
        <v>54.56</v>
      </c>
      <c r="F791" t="str">
        <f t="shared" si="24"/>
        <v>2025-02</v>
      </c>
      <c r="G791">
        <f t="shared" si="25"/>
        <v>109.12</v>
      </c>
      <c r="H791" s="2">
        <v>45706.857630524908</v>
      </c>
      <c r="I791" t="s">
        <v>33</v>
      </c>
      <c r="J791" t="s">
        <v>1625</v>
      </c>
    </row>
    <row r="792" spans="1:10" x14ac:dyDescent="0.3">
      <c r="A792" t="s">
        <v>1626</v>
      </c>
      <c r="B792" t="s">
        <v>22</v>
      </c>
      <c r="C792" t="s">
        <v>30</v>
      </c>
      <c r="D792">
        <v>2</v>
      </c>
      <c r="E792">
        <v>55.96</v>
      </c>
      <c r="F792" t="str">
        <f t="shared" si="24"/>
        <v>2025-03</v>
      </c>
      <c r="G792">
        <f t="shared" si="25"/>
        <v>111.92</v>
      </c>
      <c r="H792" s="2">
        <v>45732.857630524908</v>
      </c>
      <c r="I792" t="s">
        <v>34</v>
      </c>
      <c r="J792" t="s">
        <v>1627</v>
      </c>
    </row>
    <row r="793" spans="1:10" x14ac:dyDescent="0.3">
      <c r="A793" t="s">
        <v>1628</v>
      </c>
      <c r="B793" t="s">
        <v>27</v>
      </c>
      <c r="C793" t="s">
        <v>28</v>
      </c>
      <c r="D793">
        <v>1</v>
      </c>
      <c r="E793">
        <v>36.69</v>
      </c>
      <c r="F793" t="str">
        <f t="shared" si="24"/>
        <v>2025-01</v>
      </c>
      <c r="G793">
        <f t="shared" si="25"/>
        <v>36.69</v>
      </c>
      <c r="H793" s="2">
        <v>45660.857630524908</v>
      </c>
      <c r="I793" t="s">
        <v>33</v>
      </c>
      <c r="J793" t="s">
        <v>1629</v>
      </c>
    </row>
    <row r="794" spans="1:10" x14ac:dyDescent="0.3">
      <c r="A794" t="s">
        <v>1630</v>
      </c>
      <c r="B794" t="s">
        <v>20</v>
      </c>
      <c r="C794" t="s">
        <v>30</v>
      </c>
      <c r="D794">
        <v>5</v>
      </c>
      <c r="E794">
        <v>33.43</v>
      </c>
      <c r="F794" t="str">
        <f t="shared" si="24"/>
        <v>2024-06</v>
      </c>
      <c r="G794">
        <f t="shared" si="25"/>
        <v>167.15</v>
      </c>
      <c r="H794" s="2">
        <v>45445.857630524908</v>
      </c>
      <c r="I794" t="s">
        <v>31</v>
      </c>
      <c r="J794" t="s">
        <v>1631</v>
      </c>
    </row>
    <row r="795" spans="1:10" x14ac:dyDescent="0.3">
      <c r="A795" t="s">
        <v>1632</v>
      </c>
      <c r="B795" t="s">
        <v>19</v>
      </c>
      <c r="C795" t="s">
        <v>28</v>
      </c>
      <c r="D795">
        <v>5</v>
      </c>
      <c r="E795">
        <v>56.94</v>
      </c>
      <c r="F795" t="str">
        <f t="shared" si="24"/>
        <v>2024-05</v>
      </c>
      <c r="G795">
        <f t="shared" si="25"/>
        <v>284.7</v>
      </c>
      <c r="H795" s="2">
        <v>45437.857630524908</v>
      </c>
      <c r="I795" t="s">
        <v>32</v>
      </c>
      <c r="J795" t="s">
        <v>1633</v>
      </c>
    </row>
    <row r="796" spans="1:10" x14ac:dyDescent="0.3">
      <c r="A796" t="s">
        <v>1634</v>
      </c>
      <c r="B796" t="s">
        <v>20</v>
      </c>
      <c r="C796" t="s">
        <v>30</v>
      </c>
      <c r="D796">
        <v>2</v>
      </c>
      <c r="E796">
        <v>34.83</v>
      </c>
      <c r="F796" t="str">
        <f t="shared" si="24"/>
        <v>2024-10</v>
      </c>
      <c r="G796">
        <f t="shared" si="25"/>
        <v>69.66</v>
      </c>
      <c r="H796" s="2">
        <v>45575.857630524908</v>
      </c>
      <c r="I796" t="s">
        <v>35</v>
      </c>
      <c r="J796" t="s">
        <v>1635</v>
      </c>
    </row>
    <row r="797" spans="1:10" x14ac:dyDescent="0.3">
      <c r="A797" t="s">
        <v>1636</v>
      </c>
      <c r="B797" t="s">
        <v>20</v>
      </c>
      <c r="C797" t="s">
        <v>30</v>
      </c>
      <c r="D797">
        <v>4</v>
      </c>
      <c r="E797">
        <v>17.760000000000002</v>
      </c>
      <c r="F797" t="str">
        <f t="shared" si="24"/>
        <v>2024-08</v>
      </c>
      <c r="G797">
        <f t="shared" si="25"/>
        <v>71.040000000000006</v>
      </c>
      <c r="H797" s="2">
        <v>45518.857630524908</v>
      </c>
      <c r="I797" t="s">
        <v>34</v>
      </c>
      <c r="J797" t="s">
        <v>1637</v>
      </c>
    </row>
    <row r="798" spans="1:10" x14ac:dyDescent="0.3">
      <c r="A798" t="s">
        <v>1638</v>
      </c>
      <c r="B798" t="s">
        <v>22</v>
      </c>
      <c r="C798" t="s">
        <v>30</v>
      </c>
      <c r="D798">
        <v>2</v>
      </c>
      <c r="E798">
        <v>28.54</v>
      </c>
      <c r="F798" t="str">
        <f t="shared" si="24"/>
        <v>2024-11</v>
      </c>
      <c r="G798">
        <f t="shared" si="25"/>
        <v>57.08</v>
      </c>
      <c r="H798" s="2">
        <v>45613.857630524908</v>
      </c>
      <c r="I798" t="s">
        <v>35</v>
      </c>
      <c r="J798" t="s">
        <v>1639</v>
      </c>
    </row>
    <row r="799" spans="1:10" x14ac:dyDescent="0.3">
      <c r="A799" t="s">
        <v>1640</v>
      </c>
      <c r="B799" t="s">
        <v>18</v>
      </c>
      <c r="C799" t="s">
        <v>29</v>
      </c>
      <c r="D799">
        <v>5</v>
      </c>
      <c r="E799">
        <v>54.44</v>
      </c>
      <c r="F799" t="str">
        <f t="shared" si="24"/>
        <v>2024-04</v>
      </c>
      <c r="G799">
        <f t="shared" si="25"/>
        <v>272.2</v>
      </c>
      <c r="H799" s="2">
        <v>45405.857630524908</v>
      </c>
      <c r="I799" t="s">
        <v>31</v>
      </c>
      <c r="J799" t="s">
        <v>1641</v>
      </c>
    </row>
    <row r="800" spans="1:10" x14ac:dyDescent="0.3">
      <c r="A800" t="s">
        <v>1642</v>
      </c>
      <c r="B800" t="s">
        <v>17</v>
      </c>
      <c r="C800" t="s">
        <v>29</v>
      </c>
      <c r="D800">
        <v>4</v>
      </c>
      <c r="E800">
        <v>30.78</v>
      </c>
      <c r="F800" t="str">
        <f t="shared" si="24"/>
        <v>2024-05</v>
      </c>
      <c r="G800">
        <f t="shared" si="25"/>
        <v>123.12</v>
      </c>
      <c r="H800" s="2">
        <v>45418.857630524908</v>
      </c>
      <c r="I800" t="s">
        <v>31</v>
      </c>
      <c r="J800" t="s">
        <v>1643</v>
      </c>
    </row>
    <row r="801" spans="1:10" x14ac:dyDescent="0.3">
      <c r="A801" t="s">
        <v>1644</v>
      </c>
      <c r="B801" t="s">
        <v>17</v>
      </c>
      <c r="C801" t="s">
        <v>29</v>
      </c>
      <c r="D801">
        <v>2</v>
      </c>
      <c r="E801">
        <v>56.8</v>
      </c>
      <c r="F801" t="str">
        <f t="shared" si="24"/>
        <v>2025-03</v>
      </c>
      <c r="G801">
        <f t="shared" si="25"/>
        <v>113.6</v>
      </c>
      <c r="H801" s="2">
        <v>45728.857630524908</v>
      </c>
      <c r="I801" t="s">
        <v>34</v>
      </c>
      <c r="J801" t="s">
        <v>1645</v>
      </c>
    </row>
    <row r="802" spans="1:10" x14ac:dyDescent="0.3">
      <c r="A802" t="s">
        <v>1646</v>
      </c>
      <c r="B802" t="s">
        <v>21</v>
      </c>
      <c r="C802" t="s">
        <v>30</v>
      </c>
      <c r="D802">
        <v>4</v>
      </c>
      <c r="E802">
        <v>57.32</v>
      </c>
      <c r="F802" t="str">
        <f t="shared" si="24"/>
        <v>2024-06</v>
      </c>
      <c r="G802">
        <f t="shared" si="25"/>
        <v>229.28</v>
      </c>
      <c r="H802" s="2">
        <v>45444.857630524908</v>
      </c>
      <c r="I802" t="s">
        <v>34</v>
      </c>
      <c r="J802" t="s">
        <v>1647</v>
      </c>
    </row>
    <row r="803" spans="1:10" x14ac:dyDescent="0.3">
      <c r="A803" t="s">
        <v>1648</v>
      </c>
      <c r="B803" t="s">
        <v>27</v>
      </c>
      <c r="C803" t="s">
        <v>28</v>
      </c>
      <c r="D803">
        <v>4</v>
      </c>
      <c r="E803">
        <v>31.37</v>
      </c>
      <c r="F803" t="str">
        <f t="shared" si="24"/>
        <v>2024-06</v>
      </c>
      <c r="G803">
        <f t="shared" si="25"/>
        <v>125.48</v>
      </c>
      <c r="H803" s="2">
        <v>45462.857630524908</v>
      </c>
      <c r="I803" t="s">
        <v>31</v>
      </c>
      <c r="J803" t="s">
        <v>1649</v>
      </c>
    </row>
    <row r="804" spans="1:10" x14ac:dyDescent="0.3">
      <c r="A804" t="s">
        <v>1650</v>
      </c>
      <c r="B804" t="s">
        <v>20</v>
      </c>
      <c r="C804" t="s">
        <v>30</v>
      </c>
      <c r="D804">
        <v>1</v>
      </c>
      <c r="E804">
        <v>48.71</v>
      </c>
      <c r="F804" t="str">
        <f t="shared" si="24"/>
        <v>2024-11</v>
      </c>
      <c r="G804">
        <f t="shared" si="25"/>
        <v>48.71</v>
      </c>
      <c r="H804" s="2">
        <v>45612.857630524908</v>
      </c>
      <c r="I804" t="s">
        <v>35</v>
      </c>
      <c r="J804" t="s">
        <v>1651</v>
      </c>
    </row>
    <row r="805" spans="1:10" x14ac:dyDescent="0.3">
      <c r="A805" t="s">
        <v>1652</v>
      </c>
      <c r="B805" t="s">
        <v>25</v>
      </c>
      <c r="C805" t="s">
        <v>30</v>
      </c>
      <c r="D805">
        <v>1</v>
      </c>
      <c r="E805">
        <v>37.15</v>
      </c>
      <c r="F805" t="str">
        <f t="shared" si="24"/>
        <v>2024-07</v>
      </c>
      <c r="G805">
        <f t="shared" si="25"/>
        <v>37.15</v>
      </c>
      <c r="H805" s="2">
        <v>45488.857630524908</v>
      </c>
      <c r="I805" t="s">
        <v>34</v>
      </c>
      <c r="J805" t="s">
        <v>1653</v>
      </c>
    </row>
    <row r="806" spans="1:10" x14ac:dyDescent="0.3">
      <c r="A806" t="s">
        <v>1654</v>
      </c>
      <c r="B806" t="s">
        <v>22</v>
      </c>
      <c r="C806" t="s">
        <v>30</v>
      </c>
      <c r="D806">
        <v>5</v>
      </c>
      <c r="E806">
        <v>31.29</v>
      </c>
      <c r="F806" t="str">
        <f t="shared" si="24"/>
        <v>2025-03</v>
      </c>
      <c r="G806">
        <f t="shared" si="25"/>
        <v>156.44999999999999</v>
      </c>
      <c r="H806" s="2">
        <v>45729.857630524908</v>
      </c>
      <c r="I806" t="s">
        <v>34</v>
      </c>
      <c r="J806" t="s">
        <v>1655</v>
      </c>
    </row>
    <row r="807" spans="1:10" x14ac:dyDescent="0.3">
      <c r="A807" t="s">
        <v>1656</v>
      </c>
      <c r="B807" t="s">
        <v>16</v>
      </c>
      <c r="C807" t="s">
        <v>29</v>
      </c>
      <c r="D807">
        <v>2</v>
      </c>
      <c r="E807">
        <v>39.99</v>
      </c>
      <c r="F807" t="str">
        <f t="shared" si="24"/>
        <v>2025-01</v>
      </c>
      <c r="G807">
        <f t="shared" si="25"/>
        <v>79.98</v>
      </c>
      <c r="H807" s="2">
        <v>45679.857630524908</v>
      </c>
      <c r="I807" t="s">
        <v>35</v>
      </c>
      <c r="J807" t="s">
        <v>1657</v>
      </c>
    </row>
    <row r="808" spans="1:10" x14ac:dyDescent="0.3">
      <c r="A808" t="s">
        <v>1658</v>
      </c>
      <c r="B808" t="s">
        <v>24</v>
      </c>
      <c r="C808" t="s">
        <v>28</v>
      </c>
      <c r="D808">
        <v>2</v>
      </c>
      <c r="E808">
        <v>55.07</v>
      </c>
      <c r="F808" t="str">
        <f t="shared" si="24"/>
        <v>2025-02</v>
      </c>
      <c r="G808">
        <f t="shared" si="25"/>
        <v>110.14</v>
      </c>
      <c r="H808" s="2">
        <v>45708.857630524908</v>
      </c>
      <c r="I808" t="s">
        <v>32</v>
      </c>
      <c r="J808" t="s">
        <v>1659</v>
      </c>
    </row>
    <row r="809" spans="1:10" x14ac:dyDescent="0.3">
      <c r="A809" t="s">
        <v>1660</v>
      </c>
      <c r="B809" t="s">
        <v>26</v>
      </c>
      <c r="C809" t="s">
        <v>28</v>
      </c>
      <c r="D809">
        <v>2</v>
      </c>
      <c r="E809">
        <v>45.98</v>
      </c>
      <c r="F809" t="str">
        <f t="shared" si="24"/>
        <v>2024-07</v>
      </c>
      <c r="G809">
        <f t="shared" si="25"/>
        <v>91.96</v>
      </c>
      <c r="H809" s="2">
        <v>45478.857630524908</v>
      </c>
      <c r="I809" t="s">
        <v>32</v>
      </c>
      <c r="J809" t="s">
        <v>1661</v>
      </c>
    </row>
    <row r="810" spans="1:10" x14ac:dyDescent="0.3">
      <c r="A810" t="s">
        <v>1662</v>
      </c>
      <c r="B810" t="s">
        <v>17</v>
      </c>
      <c r="C810" t="s">
        <v>29</v>
      </c>
      <c r="D810">
        <v>4</v>
      </c>
      <c r="E810">
        <v>21.86</v>
      </c>
      <c r="F810" t="str">
        <f t="shared" si="24"/>
        <v>2024-09</v>
      </c>
      <c r="G810">
        <f t="shared" si="25"/>
        <v>87.44</v>
      </c>
      <c r="H810" s="2">
        <v>45540.857630524908</v>
      </c>
      <c r="I810" t="s">
        <v>33</v>
      </c>
      <c r="J810" t="s">
        <v>1663</v>
      </c>
    </row>
    <row r="811" spans="1:10" x14ac:dyDescent="0.3">
      <c r="A811" t="s">
        <v>1664</v>
      </c>
      <c r="B811" t="s">
        <v>21</v>
      </c>
      <c r="C811" t="s">
        <v>30</v>
      </c>
      <c r="D811">
        <v>2</v>
      </c>
      <c r="E811">
        <v>37.72</v>
      </c>
      <c r="F811" t="str">
        <f t="shared" si="24"/>
        <v>2024-10</v>
      </c>
      <c r="G811">
        <f t="shared" si="25"/>
        <v>75.44</v>
      </c>
      <c r="H811" s="2">
        <v>45592.857630524908</v>
      </c>
      <c r="I811" t="s">
        <v>34</v>
      </c>
      <c r="J811" t="s">
        <v>1665</v>
      </c>
    </row>
    <row r="812" spans="1:10" x14ac:dyDescent="0.3">
      <c r="A812" t="s">
        <v>1666</v>
      </c>
      <c r="B812" t="s">
        <v>26</v>
      </c>
      <c r="C812" t="s">
        <v>28</v>
      </c>
      <c r="D812">
        <v>3</v>
      </c>
      <c r="E812">
        <v>32.25</v>
      </c>
      <c r="F812" t="str">
        <f t="shared" si="24"/>
        <v>2025-02</v>
      </c>
      <c r="G812">
        <f t="shared" si="25"/>
        <v>96.75</v>
      </c>
      <c r="H812" s="2">
        <v>45714.857630524908</v>
      </c>
      <c r="I812" t="s">
        <v>35</v>
      </c>
      <c r="J812" t="s">
        <v>1667</v>
      </c>
    </row>
    <row r="813" spans="1:10" x14ac:dyDescent="0.3">
      <c r="A813" t="s">
        <v>1668</v>
      </c>
      <c r="B813" t="s">
        <v>27</v>
      </c>
      <c r="C813" t="s">
        <v>28</v>
      </c>
      <c r="D813">
        <v>5</v>
      </c>
      <c r="E813">
        <v>35.130000000000003</v>
      </c>
      <c r="F813" t="str">
        <f t="shared" si="24"/>
        <v>2024-06</v>
      </c>
      <c r="G813">
        <f t="shared" si="25"/>
        <v>175.65</v>
      </c>
      <c r="H813" s="2">
        <v>45451.857630524908</v>
      </c>
      <c r="I813" t="s">
        <v>34</v>
      </c>
      <c r="J813" t="s">
        <v>1669</v>
      </c>
    </row>
    <row r="814" spans="1:10" x14ac:dyDescent="0.3">
      <c r="A814" t="s">
        <v>1670</v>
      </c>
      <c r="B814" t="s">
        <v>17</v>
      </c>
      <c r="C814" t="s">
        <v>29</v>
      </c>
      <c r="D814">
        <v>3</v>
      </c>
      <c r="E814">
        <v>51.92</v>
      </c>
      <c r="F814" t="str">
        <f t="shared" si="24"/>
        <v>2024-08</v>
      </c>
      <c r="G814">
        <f t="shared" si="25"/>
        <v>155.76</v>
      </c>
      <c r="H814" s="2">
        <v>45520.857630524908</v>
      </c>
      <c r="I814" t="s">
        <v>33</v>
      </c>
      <c r="J814" t="s">
        <v>1671</v>
      </c>
    </row>
    <row r="815" spans="1:10" x14ac:dyDescent="0.3">
      <c r="A815" t="s">
        <v>1672</v>
      </c>
      <c r="B815" t="s">
        <v>23</v>
      </c>
      <c r="C815" t="s">
        <v>28</v>
      </c>
      <c r="D815">
        <v>4</v>
      </c>
      <c r="E815">
        <v>52.42</v>
      </c>
      <c r="F815" t="str">
        <f t="shared" si="24"/>
        <v>2024-12</v>
      </c>
      <c r="G815">
        <f t="shared" si="25"/>
        <v>209.68</v>
      </c>
      <c r="H815" s="2">
        <v>45652.857630524908</v>
      </c>
      <c r="I815" t="s">
        <v>32</v>
      </c>
      <c r="J815" t="s">
        <v>1673</v>
      </c>
    </row>
    <row r="816" spans="1:10" x14ac:dyDescent="0.3">
      <c r="A816" t="s">
        <v>1674</v>
      </c>
      <c r="B816" t="s">
        <v>18</v>
      </c>
      <c r="C816" t="s">
        <v>29</v>
      </c>
      <c r="D816">
        <v>5</v>
      </c>
      <c r="E816">
        <v>14.87</v>
      </c>
      <c r="F816" t="str">
        <f t="shared" si="24"/>
        <v>2025-03</v>
      </c>
      <c r="G816">
        <f t="shared" si="25"/>
        <v>74.349999999999994</v>
      </c>
      <c r="H816" s="2">
        <v>45734.857630524908</v>
      </c>
      <c r="I816" t="s">
        <v>34</v>
      </c>
      <c r="J816" t="s">
        <v>1675</v>
      </c>
    </row>
    <row r="817" spans="1:10" x14ac:dyDescent="0.3">
      <c r="A817" t="s">
        <v>1676</v>
      </c>
      <c r="B817" t="s">
        <v>20</v>
      </c>
      <c r="C817" t="s">
        <v>30</v>
      </c>
      <c r="D817">
        <v>3</v>
      </c>
      <c r="E817">
        <v>28.01</v>
      </c>
      <c r="F817" t="str">
        <f t="shared" si="24"/>
        <v>2025-02</v>
      </c>
      <c r="G817">
        <f t="shared" si="25"/>
        <v>84.03</v>
      </c>
      <c r="H817" s="2">
        <v>45694.857630524908</v>
      </c>
      <c r="I817" t="s">
        <v>31</v>
      </c>
      <c r="J817" t="s">
        <v>1677</v>
      </c>
    </row>
    <row r="818" spans="1:10" x14ac:dyDescent="0.3">
      <c r="A818" t="s">
        <v>1678</v>
      </c>
      <c r="B818" t="s">
        <v>21</v>
      </c>
      <c r="C818" t="s">
        <v>30</v>
      </c>
      <c r="D818">
        <v>1</v>
      </c>
      <c r="E818">
        <v>37.770000000000003</v>
      </c>
      <c r="F818" t="str">
        <f t="shared" si="24"/>
        <v>2024-05</v>
      </c>
      <c r="G818">
        <f t="shared" si="25"/>
        <v>37.770000000000003</v>
      </c>
      <c r="H818" s="2">
        <v>45443.857630524908</v>
      </c>
      <c r="I818" t="s">
        <v>32</v>
      </c>
      <c r="J818" t="s">
        <v>1679</v>
      </c>
    </row>
    <row r="819" spans="1:10" x14ac:dyDescent="0.3">
      <c r="A819" t="s">
        <v>1680</v>
      </c>
      <c r="B819" t="s">
        <v>24</v>
      </c>
      <c r="C819" t="s">
        <v>28</v>
      </c>
      <c r="D819">
        <v>4</v>
      </c>
      <c r="E819">
        <v>29.59</v>
      </c>
      <c r="F819" t="str">
        <f t="shared" si="24"/>
        <v>2024-12</v>
      </c>
      <c r="G819">
        <f t="shared" si="25"/>
        <v>118.36</v>
      </c>
      <c r="H819" s="2">
        <v>45634.857630524908</v>
      </c>
      <c r="I819" t="s">
        <v>32</v>
      </c>
      <c r="J819" t="s">
        <v>1681</v>
      </c>
    </row>
    <row r="820" spans="1:10" x14ac:dyDescent="0.3">
      <c r="A820" t="s">
        <v>1682</v>
      </c>
      <c r="B820" t="s">
        <v>18</v>
      </c>
      <c r="C820" t="s">
        <v>29</v>
      </c>
      <c r="D820">
        <v>5</v>
      </c>
      <c r="E820">
        <v>23.47</v>
      </c>
      <c r="F820" t="str">
        <f t="shared" si="24"/>
        <v>2024-04</v>
      </c>
      <c r="G820">
        <f t="shared" si="25"/>
        <v>117.35</v>
      </c>
      <c r="H820" s="2">
        <v>45406.857630524908</v>
      </c>
      <c r="I820" t="s">
        <v>34</v>
      </c>
      <c r="J820" t="s">
        <v>1683</v>
      </c>
    </row>
    <row r="821" spans="1:10" x14ac:dyDescent="0.3">
      <c r="A821" t="s">
        <v>1684</v>
      </c>
      <c r="B821" t="s">
        <v>16</v>
      </c>
      <c r="C821" t="s">
        <v>29</v>
      </c>
      <c r="D821">
        <v>5</v>
      </c>
      <c r="E821">
        <v>52.24</v>
      </c>
      <c r="F821" t="str">
        <f t="shared" si="24"/>
        <v>2025-02</v>
      </c>
      <c r="G821">
        <f t="shared" si="25"/>
        <v>261.2</v>
      </c>
      <c r="H821" s="2">
        <v>45704.857630524908</v>
      </c>
      <c r="I821" t="s">
        <v>35</v>
      </c>
      <c r="J821" t="s">
        <v>1685</v>
      </c>
    </row>
    <row r="822" spans="1:10" x14ac:dyDescent="0.3">
      <c r="A822" t="s">
        <v>1686</v>
      </c>
      <c r="B822" t="s">
        <v>18</v>
      </c>
      <c r="C822" t="s">
        <v>29</v>
      </c>
      <c r="D822">
        <v>2</v>
      </c>
      <c r="E822">
        <v>49.37</v>
      </c>
      <c r="F822" t="str">
        <f t="shared" si="24"/>
        <v>2025-01</v>
      </c>
      <c r="G822">
        <f t="shared" si="25"/>
        <v>98.74</v>
      </c>
      <c r="H822" s="2">
        <v>45658.857630524908</v>
      </c>
      <c r="I822" t="s">
        <v>32</v>
      </c>
      <c r="J822" t="s">
        <v>1687</v>
      </c>
    </row>
    <row r="823" spans="1:10" x14ac:dyDescent="0.3">
      <c r="A823" t="s">
        <v>1688</v>
      </c>
      <c r="B823" t="s">
        <v>25</v>
      </c>
      <c r="C823" t="s">
        <v>30</v>
      </c>
      <c r="D823">
        <v>4</v>
      </c>
      <c r="E823">
        <v>55.76</v>
      </c>
      <c r="F823" t="str">
        <f t="shared" si="24"/>
        <v>2025-01</v>
      </c>
      <c r="G823">
        <f t="shared" si="25"/>
        <v>223.04</v>
      </c>
      <c r="H823" s="2">
        <v>45664.857630524908</v>
      </c>
      <c r="I823" t="s">
        <v>31</v>
      </c>
      <c r="J823" t="s">
        <v>1689</v>
      </c>
    </row>
    <row r="824" spans="1:10" x14ac:dyDescent="0.3">
      <c r="A824" t="s">
        <v>1690</v>
      </c>
      <c r="B824" t="s">
        <v>21</v>
      </c>
      <c r="C824" t="s">
        <v>30</v>
      </c>
      <c r="D824">
        <v>4</v>
      </c>
      <c r="E824">
        <v>53.27</v>
      </c>
      <c r="F824" t="str">
        <f t="shared" si="24"/>
        <v>2024-04</v>
      </c>
      <c r="G824">
        <f t="shared" si="25"/>
        <v>213.08</v>
      </c>
      <c r="H824" s="2">
        <v>45406.857630524908</v>
      </c>
      <c r="I824" t="s">
        <v>33</v>
      </c>
      <c r="J824" t="s">
        <v>1691</v>
      </c>
    </row>
    <row r="825" spans="1:10" x14ac:dyDescent="0.3">
      <c r="A825" t="s">
        <v>1692</v>
      </c>
      <c r="B825" t="s">
        <v>18</v>
      </c>
      <c r="C825" t="s">
        <v>29</v>
      </c>
      <c r="D825">
        <v>5</v>
      </c>
      <c r="E825">
        <v>13.04</v>
      </c>
      <c r="F825" t="str">
        <f t="shared" si="24"/>
        <v>2024-08</v>
      </c>
      <c r="G825">
        <f t="shared" si="25"/>
        <v>65.199999999999989</v>
      </c>
      <c r="H825" s="2">
        <v>45518.857630524908</v>
      </c>
      <c r="I825" t="s">
        <v>32</v>
      </c>
      <c r="J825" t="s">
        <v>1693</v>
      </c>
    </row>
    <row r="826" spans="1:10" x14ac:dyDescent="0.3">
      <c r="A826" t="s">
        <v>1694</v>
      </c>
      <c r="B826" t="s">
        <v>16</v>
      </c>
      <c r="C826" t="s">
        <v>29</v>
      </c>
      <c r="D826">
        <v>2</v>
      </c>
      <c r="E826">
        <v>55.84</v>
      </c>
      <c r="F826" t="str">
        <f t="shared" si="24"/>
        <v>2024-10</v>
      </c>
      <c r="G826">
        <f t="shared" si="25"/>
        <v>111.68</v>
      </c>
      <c r="H826" s="2">
        <v>45578.857630524908</v>
      </c>
      <c r="I826" t="s">
        <v>35</v>
      </c>
      <c r="J826" t="s">
        <v>1695</v>
      </c>
    </row>
    <row r="827" spans="1:10" x14ac:dyDescent="0.3">
      <c r="A827" t="s">
        <v>1696</v>
      </c>
      <c r="B827" t="s">
        <v>16</v>
      </c>
      <c r="C827" t="s">
        <v>29</v>
      </c>
      <c r="D827">
        <v>1</v>
      </c>
      <c r="E827">
        <v>30.09</v>
      </c>
      <c r="F827" t="str">
        <f t="shared" si="24"/>
        <v>2024-04</v>
      </c>
      <c r="G827">
        <f t="shared" si="25"/>
        <v>30.09</v>
      </c>
      <c r="H827" s="2">
        <v>45402.857630524908</v>
      </c>
      <c r="I827" t="s">
        <v>32</v>
      </c>
      <c r="J827" t="s">
        <v>1697</v>
      </c>
    </row>
    <row r="828" spans="1:10" x14ac:dyDescent="0.3">
      <c r="A828" t="s">
        <v>1698</v>
      </c>
      <c r="B828" t="s">
        <v>16</v>
      </c>
      <c r="C828" t="s">
        <v>29</v>
      </c>
      <c r="D828">
        <v>4</v>
      </c>
      <c r="E828">
        <v>30.57</v>
      </c>
      <c r="F828" t="str">
        <f t="shared" si="24"/>
        <v>2024-09</v>
      </c>
      <c r="G828">
        <f t="shared" si="25"/>
        <v>122.28</v>
      </c>
      <c r="H828" s="2">
        <v>45542.857630524908</v>
      </c>
      <c r="I828" t="s">
        <v>32</v>
      </c>
      <c r="J828" t="s">
        <v>1699</v>
      </c>
    </row>
    <row r="829" spans="1:10" x14ac:dyDescent="0.3">
      <c r="A829" t="s">
        <v>1700</v>
      </c>
      <c r="B829" t="s">
        <v>16</v>
      </c>
      <c r="C829" t="s">
        <v>29</v>
      </c>
      <c r="D829">
        <v>1</v>
      </c>
      <c r="E829">
        <v>45.11</v>
      </c>
      <c r="F829" t="str">
        <f t="shared" si="24"/>
        <v>2024-05</v>
      </c>
      <c r="G829">
        <f t="shared" si="25"/>
        <v>45.11</v>
      </c>
      <c r="H829" s="2">
        <v>45422.857630524908</v>
      </c>
      <c r="I829" t="s">
        <v>33</v>
      </c>
      <c r="J829" t="s">
        <v>1701</v>
      </c>
    </row>
    <row r="830" spans="1:10" x14ac:dyDescent="0.3">
      <c r="A830" t="s">
        <v>1702</v>
      </c>
      <c r="B830" t="s">
        <v>17</v>
      </c>
      <c r="C830" t="s">
        <v>29</v>
      </c>
      <c r="D830">
        <v>3</v>
      </c>
      <c r="E830">
        <v>50.14</v>
      </c>
      <c r="F830" t="str">
        <f t="shared" si="24"/>
        <v>2024-11</v>
      </c>
      <c r="G830">
        <f t="shared" si="25"/>
        <v>150.42000000000002</v>
      </c>
      <c r="H830" s="2">
        <v>45600.857630524908</v>
      </c>
      <c r="I830" t="s">
        <v>31</v>
      </c>
      <c r="J830" t="s">
        <v>1703</v>
      </c>
    </row>
    <row r="831" spans="1:10" x14ac:dyDescent="0.3">
      <c r="A831" t="s">
        <v>1704</v>
      </c>
      <c r="B831" t="s">
        <v>17</v>
      </c>
      <c r="C831" t="s">
        <v>29</v>
      </c>
      <c r="D831">
        <v>2</v>
      </c>
      <c r="E831">
        <v>26.47</v>
      </c>
      <c r="F831" t="str">
        <f t="shared" si="24"/>
        <v>2025-01</v>
      </c>
      <c r="G831">
        <f t="shared" si="25"/>
        <v>52.94</v>
      </c>
      <c r="H831" s="2">
        <v>45661.857630524908</v>
      </c>
      <c r="I831" t="s">
        <v>35</v>
      </c>
      <c r="J831" t="s">
        <v>1705</v>
      </c>
    </row>
    <row r="832" spans="1:10" x14ac:dyDescent="0.3">
      <c r="A832" t="s">
        <v>1706</v>
      </c>
      <c r="B832" t="s">
        <v>22</v>
      </c>
      <c r="C832" t="s">
        <v>30</v>
      </c>
      <c r="D832">
        <v>2</v>
      </c>
      <c r="E832">
        <v>46.71</v>
      </c>
      <c r="F832" t="str">
        <f t="shared" si="24"/>
        <v>2025-03</v>
      </c>
      <c r="G832">
        <f t="shared" si="25"/>
        <v>93.42</v>
      </c>
      <c r="H832" s="2">
        <v>45719.857630524908</v>
      </c>
      <c r="I832" t="s">
        <v>34</v>
      </c>
      <c r="J832" t="s">
        <v>1707</v>
      </c>
    </row>
    <row r="833" spans="1:10" x14ac:dyDescent="0.3">
      <c r="A833" t="s">
        <v>1708</v>
      </c>
      <c r="B833" t="s">
        <v>16</v>
      </c>
      <c r="C833" t="s">
        <v>29</v>
      </c>
      <c r="D833">
        <v>1</v>
      </c>
      <c r="E833">
        <v>45.41</v>
      </c>
      <c r="F833" t="str">
        <f t="shared" si="24"/>
        <v>2024-10</v>
      </c>
      <c r="G833">
        <f t="shared" si="25"/>
        <v>45.41</v>
      </c>
      <c r="H833" s="2">
        <v>45577.857630524908</v>
      </c>
      <c r="I833" t="s">
        <v>34</v>
      </c>
      <c r="J833" t="s">
        <v>1709</v>
      </c>
    </row>
    <row r="834" spans="1:10" x14ac:dyDescent="0.3">
      <c r="A834" t="s">
        <v>1710</v>
      </c>
      <c r="B834" t="s">
        <v>17</v>
      </c>
      <c r="C834" t="s">
        <v>29</v>
      </c>
      <c r="D834">
        <v>1</v>
      </c>
      <c r="E834">
        <v>50.23</v>
      </c>
      <c r="F834" t="str">
        <f t="shared" si="24"/>
        <v>2024-10</v>
      </c>
      <c r="G834">
        <f t="shared" si="25"/>
        <v>50.23</v>
      </c>
      <c r="H834" s="2">
        <v>45593.857630524908</v>
      </c>
      <c r="I834" t="s">
        <v>33</v>
      </c>
      <c r="J834" t="s">
        <v>1711</v>
      </c>
    </row>
    <row r="835" spans="1:10" x14ac:dyDescent="0.3">
      <c r="A835" t="s">
        <v>1712</v>
      </c>
      <c r="B835" t="s">
        <v>16</v>
      </c>
      <c r="C835" t="s">
        <v>29</v>
      </c>
      <c r="D835">
        <v>2</v>
      </c>
      <c r="E835">
        <v>31.33</v>
      </c>
      <c r="F835" t="str">
        <f t="shared" ref="F835:F898" si="26">TEXT(H835, "yyyy-mm")</f>
        <v>2024-06</v>
      </c>
      <c r="G835">
        <f t="shared" ref="G835:G898" si="27">D835*E835</f>
        <v>62.66</v>
      </c>
      <c r="H835" s="2">
        <v>45459.857630524908</v>
      </c>
      <c r="I835" t="s">
        <v>32</v>
      </c>
      <c r="J835" t="s">
        <v>1713</v>
      </c>
    </row>
    <row r="836" spans="1:10" x14ac:dyDescent="0.3">
      <c r="A836" t="s">
        <v>1714</v>
      </c>
      <c r="B836" t="s">
        <v>21</v>
      </c>
      <c r="C836" t="s">
        <v>30</v>
      </c>
      <c r="D836">
        <v>4</v>
      </c>
      <c r="E836">
        <v>53.39</v>
      </c>
      <c r="F836" t="str">
        <f t="shared" si="26"/>
        <v>2024-05</v>
      </c>
      <c r="G836">
        <f t="shared" si="27"/>
        <v>213.56</v>
      </c>
      <c r="H836" s="2">
        <v>45431.857630524908</v>
      </c>
      <c r="I836" t="s">
        <v>34</v>
      </c>
      <c r="J836" t="s">
        <v>1715</v>
      </c>
    </row>
    <row r="837" spans="1:10" x14ac:dyDescent="0.3">
      <c r="A837" t="s">
        <v>1716</v>
      </c>
      <c r="B837" t="s">
        <v>26</v>
      </c>
      <c r="C837" t="s">
        <v>28</v>
      </c>
      <c r="D837">
        <v>5</v>
      </c>
      <c r="E837">
        <v>34.17</v>
      </c>
      <c r="F837" t="str">
        <f t="shared" si="26"/>
        <v>2024-06</v>
      </c>
      <c r="G837">
        <f t="shared" si="27"/>
        <v>170.85000000000002</v>
      </c>
      <c r="H837" s="2">
        <v>45471.857630524908</v>
      </c>
      <c r="I837" t="s">
        <v>35</v>
      </c>
      <c r="J837" t="s">
        <v>1717</v>
      </c>
    </row>
    <row r="838" spans="1:10" x14ac:dyDescent="0.3">
      <c r="A838" t="s">
        <v>1718</v>
      </c>
      <c r="B838" t="s">
        <v>24</v>
      </c>
      <c r="C838" t="s">
        <v>28</v>
      </c>
      <c r="D838">
        <v>1</v>
      </c>
      <c r="E838">
        <v>36.020000000000003</v>
      </c>
      <c r="F838" t="str">
        <f t="shared" si="26"/>
        <v>2025-03</v>
      </c>
      <c r="G838">
        <f t="shared" si="27"/>
        <v>36.020000000000003</v>
      </c>
      <c r="H838" s="2">
        <v>45743.857630524908</v>
      </c>
      <c r="I838" t="s">
        <v>31</v>
      </c>
      <c r="J838" t="s">
        <v>1719</v>
      </c>
    </row>
    <row r="839" spans="1:10" x14ac:dyDescent="0.3">
      <c r="A839" t="s">
        <v>1720</v>
      </c>
      <c r="B839" t="s">
        <v>27</v>
      </c>
      <c r="C839" t="s">
        <v>28</v>
      </c>
      <c r="D839">
        <v>4</v>
      </c>
      <c r="E839">
        <v>53.77</v>
      </c>
      <c r="F839" t="str">
        <f t="shared" si="26"/>
        <v>2024-08</v>
      </c>
      <c r="G839">
        <f t="shared" si="27"/>
        <v>215.08</v>
      </c>
      <c r="H839" s="2">
        <v>45522.857630524908</v>
      </c>
      <c r="I839" t="s">
        <v>35</v>
      </c>
      <c r="J839" t="s">
        <v>1721</v>
      </c>
    </row>
    <row r="840" spans="1:10" x14ac:dyDescent="0.3">
      <c r="A840" t="s">
        <v>1722</v>
      </c>
      <c r="B840" t="s">
        <v>26</v>
      </c>
      <c r="C840" t="s">
        <v>28</v>
      </c>
      <c r="D840">
        <v>4</v>
      </c>
      <c r="E840">
        <v>23.59</v>
      </c>
      <c r="F840" t="str">
        <f t="shared" si="26"/>
        <v>2024-07</v>
      </c>
      <c r="G840">
        <f t="shared" si="27"/>
        <v>94.36</v>
      </c>
      <c r="H840" s="2">
        <v>45501.857630524908</v>
      </c>
      <c r="I840" t="s">
        <v>35</v>
      </c>
      <c r="J840" t="s">
        <v>1723</v>
      </c>
    </row>
    <row r="841" spans="1:10" x14ac:dyDescent="0.3">
      <c r="A841" t="s">
        <v>1724</v>
      </c>
      <c r="B841" t="s">
        <v>17</v>
      </c>
      <c r="C841" t="s">
        <v>29</v>
      </c>
      <c r="D841">
        <v>4</v>
      </c>
      <c r="E841">
        <v>59.85</v>
      </c>
      <c r="F841" t="str">
        <f t="shared" si="26"/>
        <v>2024-07</v>
      </c>
      <c r="G841">
        <f t="shared" si="27"/>
        <v>239.4</v>
      </c>
      <c r="H841" s="2">
        <v>45481.857630524908</v>
      </c>
      <c r="I841" t="s">
        <v>33</v>
      </c>
      <c r="J841" t="s">
        <v>1725</v>
      </c>
    </row>
    <row r="842" spans="1:10" x14ac:dyDescent="0.3">
      <c r="A842" t="s">
        <v>1726</v>
      </c>
      <c r="B842" t="s">
        <v>21</v>
      </c>
      <c r="C842" t="s">
        <v>30</v>
      </c>
      <c r="D842">
        <v>3</v>
      </c>
      <c r="E842">
        <v>56.65</v>
      </c>
      <c r="F842" t="str">
        <f t="shared" si="26"/>
        <v>2024-11</v>
      </c>
      <c r="G842">
        <f t="shared" si="27"/>
        <v>169.95</v>
      </c>
      <c r="H842" s="2">
        <v>45624.857630524908</v>
      </c>
      <c r="I842" t="s">
        <v>35</v>
      </c>
      <c r="J842" t="s">
        <v>1727</v>
      </c>
    </row>
    <row r="843" spans="1:10" x14ac:dyDescent="0.3">
      <c r="A843" t="s">
        <v>1728</v>
      </c>
      <c r="B843" t="s">
        <v>25</v>
      </c>
      <c r="C843" t="s">
        <v>30</v>
      </c>
      <c r="D843">
        <v>2</v>
      </c>
      <c r="E843">
        <v>18.46</v>
      </c>
      <c r="F843" t="str">
        <f t="shared" si="26"/>
        <v>2025-03</v>
      </c>
      <c r="G843">
        <f t="shared" si="27"/>
        <v>36.92</v>
      </c>
      <c r="H843" s="2">
        <v>45722.857630524908</v>
      </c>
      <c r="I843" t="s">
        <v>31</v>
      </c>
      <c r="J843" t="s">
        <v>1729</v>
      </c>
    </row>
    <row r="844" spans="1:10" x14ac:dyDescent="0.3">
      <c r="A844" t="s">
        <v>1730</v>
      </c>
      <c r="B844" t="s">
        <v>25</v>
      </c>
      <c r="C844" t="s">
        <v>30</v>
      </c>
      <c r="D844">
        <v>5</v>
      </c>
      <c r="E844">
        <v>14.35</v>
      </c>
      <c r="F844" t="str">
        <f t="shared" si="26"/>
        <v>2024-06</v>
      </c>
      <c r="G844">
        <f t="shared" si="27"/>
        <v>71.75</v>
      </c>
      <c r="H844" s="2">
        <v>45463.857630524908</v>
      </c>
      <c r="I844" t="s">
        <v>35</v>
      </c>
      <c r="J844" t="s">
        <v>1731</v>
      </c>
    </row>
    <row r="845" spans="1:10" x14ac:dyDescent="0.3">
      <c r="A845" t="s">
        <v>1732</v>
      </c>
      <c r="B845" t="s">
        <v>18</v>
      </c>
      <c r="C845" t="s">
        <v>29</v>
      </c>
      <c r="D845">
        <v>4</v>
      </c>
      <c r="E845">
        <v>25.68</v>
      </c>
      <c r="F845" t="str">
        <f t="shared" si="26"/>
        <v>2024-08</v>
      </c>
      <c r="G845">
        <f t="shared" si="27"/>
        <v>102.72</v>
      </c>
      <c r="H845" s="2">
        <v>45533.857630524908</v>
      </c>
      <c r="I845" t="s">
        <v>34</v>
      </c>
      <c r="J845" t="s">
        <v>1733</v>
      </c>
    </row>
    <row r="846" spans="1:10" x14ac:dyDescent="0.3">
      <c r="A846" t="s">
        <v>1734</v>
      </c>
      <c r="B846" t="s">
        <v>26</v>
      </c>
      <c r="C846" t="s">
        <v>28</v>
      </c>
      <c r="D846">
        <v>3</v>
      </c>
      <c r="E846">
        <v>53.08</v>
      </c>
      <c r="F846" t="str">
        <f t="shared" si="26"/>
        <v>2025-03</v>
      </c>
      <c r="G846">
        <f t="shared" si="27"/>
        <v>159.24</v>
      </c>
      <c r="H846" s="2">
        <v>45737.857630524908</v>
      </c>
      <c r="I846" t="s">
        <v>34</v>
      </c>
      <c r="J846" t="s">
        <v>1735</v>
      </c>
    </row>
    <row r="847" spans="1:10" x14ac:dyDescent="0.3">
      <c r="A847" t="s">
        <v>1736</v>
      </c>
      <c r="B847" t="s">
        <v>16</v>
      </c>
      <c r="C847" t="s">
        <v>29</v>
      </c>
      <c r="D847">
        <v>5</v>
      </c>
      <c r="E847">
        <v>24.93</v>
      </c>
      <c r="F847" t="str">
        <f t="shared" si="26"/>
        <v>2024-08</v>
      </c>
      <c r="G847">
        <f t="shared" si="27"/>
        <v>124.65</v>
      </c>
      <c r="H847" s="2">
        <v>45507.857630524908</v>
      </c>
      <c r="I847" t="s">
        <v>32</v>
      </c>
      <c r="J847" t="s">
        <v>1737</v>
      </c>
    </row>
    <row r="848" spans="1:10" x14ac:dyDescent="0.3">
      <c r="A848" t="s">
        <v>1738</v>
      </c>
      <c r="B848" t="s">
        <v>25</v>
      </c>
      <c r="C848" t="s">
        <v>30</v>
      </c>
      <c r="D848">
        <v>1</v>
      </c>
      <c r="E848">
        <v>35.92</v>
      </c>
      <c r="F848" t="str">
        <f t="shared" si="26"/>
        <v>2025-02</v>
      </c>
      <c r="G848">
        <f t="shared" si="27"/>
        <v>35.92</v>
      </c>
      <c r="H848" s="2">
        <v>45715.857630524908</v>
      </c>
      <c r="I848" t="s">
        <v>32</v>
      </c>
      <c r="J848" t="s">
        <v>1739</v>
      </c>
    </row>
    <row r="849" spans="1:10" x14ac:dyDescent="0.3">
      <c r="A849" t="s">
        <v>1740</v>
      </c>
      <c r="B849" t="s">
        <v>21</v>
      </c>
      <c r="C849" t="s">
        <v>30</v>
      </c>
      <c r="D849">
        <v>2</v>
      </c>
      <c r="E849">
        <v>28.72</v>
      </c>
      <c r="F849" t="str">
        <f t="shared" si="26"/>
        <v>2024-08</v>
      </c>
      <c r="G849">
        <f t="shared" si="27"/>
        <v>57.44</v>
      </c>
      <c r="H849" s="2">
        <v>45511.857630524908</v>
      </c>
      <c r="I849" t="s">
        <v>34</v>
      </c>
      <c r="J849" t="s">
        <v>1741</v>
      </c>
    </row>
    <row r="850" spans="1:10" x14ac:dyDescent="0.3">
      <c r="A850" t="s">
        <v>1742</v>
      </c>
      <c r="B850" t="s">
        <v>24</v>
      </c>
      <c r="C850" t="s">
        <v>28</v>
      </c>
      <c r="D850">
        <v>5</v>
      </c>
      <c r="E850">
        <v>57.7</v>
      </c>
      <c r="F850" t="str">
        <f t="shared" si="26"/>
        <v>2024-07</v>
      </c>
      <c r="G850">
        <f t="shared" si="27"/>
        <v>288.5</v>
      </c>
      <c r="H850" s="2">
        <v>45494.857630524908</v>
      </c>
      <c r="I850" t="s">
        <v>32</v>
      </c>
      <c r="J850" t="s">
        <v>1743</v>
      </c>
    </row>
    <row r="851" spans="1:10" x14ac:dyDescent="0.3">
      <c r="A851" t="s">
        <v>1744</v>
      </c>
      <c r="B851" t="s">
        <v>22</v>
      </c>
      <c r="C851" t="s">
        <v>30</v>
      </c>
      <c r="D851">
        <v>3</v>
      </c>
      <c r="E851">
        <v>28.88</v>
      </c>
      <c r="F851" t="str">
        <f t="shared" si="26"/>
        <v>2024-06</v>
      </c>
      <c r="G851">
        <f t="shared" si="27"/>
        <v>86.64</v>
      </c>
      <c r="H851" s="2">
        <v>45449.857630524908</v>
      </c>
      <c r="I851" t="s">
        <v>35</v>
      </c>
      <c r="J851" t="s">
        <v>1745</v>
      </c>
    </row>
    <row r="852" spans="1:10" x14ac:dyDescent="0.3">
      <c r="A852" t="s">
        <v>1746</v>
      </c>
      <c r="B852" t="s">
        <v>22</v>
      </c>
      <c r="C852" t="s">
        <v>30</v>
      </c>
      <c r="D852">
        <v>1</v>
      </c>
      <c r="E852">
        <v>48.46</v>
      </c>
      <c r="F852" t="str">
        <f t="shared" si="26"/>
        <v>2024-08</v>
      </c>
      <c r="G852">
        <f t="shared" si="27"/>
        <v>48.46</v>
      </c>
      <c r="H852" s="2">
        <v>45519.857630524908</v>
      </c>
      <c r="I852" t="s">
        <v>35</v>
      </c>
      <c r="J852" t="s">
        <v>1747</v>
      </c>
    </row>
    <row r="853" spans="1:10" x14ac:dyDescent="0.3">
      <c r="A853" t="s">
        <v>1748</v>
      </c>
      <c r="B853" t="s">
        <v>22</v>
      </c>
      <c r="C853" t="s">
        <v>30</v>
      </c>
      <c r="D853">
        <v>5</v>
      </c>
      <c r="E853">
        <v>11.95</v>
      </c>
      <c r="F853" t="str">
        <f t="shared" si="26"/>
        <v>2024-12</v>
      </c>
      <c r="G853">
        <f t="shared" si="27"/>
        <v>59.75</v>
      </c>
      <c r="H853" s="2">
        <v>45632.857630524908</v>
      </c>
      <c r="I853" t="s">
        <v>32</v>
      </c>
      <c r="J853" t="s">
        <v>1749</v>
      </c>
    </row>
    <row r="854" spans="1:10" x14ac:dyDescent="0.3">
      <c r="A854" t="s">
        <v>1750</v>
      </c>
      <c r="B854" t="s">
        <v>17</v>
      </c>
      <c r="C854" t="s">
        <v>29</v>
      </c>
      <c r="D854">
        <v>5</v>
      </c>
      <c r="E854">
        <v>40.39</v>
      </c>
      <c r="F854" t="str">
        <f t="shared" si="26"/>
        <v>2025-03</v>
      </c>
      <c r="G854">
        <f t="shared" si="27"/>
        <v>201.95</v>
      </c>
      <c r="H854" s="2">
        <v>45726.857630524908</v>
      </c>
      <c r="I854" t="s">
        <v>32</v>
      </c>
      <c r="J854" t="s">
        <v>1751</v>
      </c>
    </row>
    <row r="855" spans="1:10" x14ac:dyDescent="0.3">
      <c r="A855" t="s">
        <v>1752</v>
      </c>
      <c r="B855" t="s">
        <v>20</v>
      </c>
      <c r="C855" t="s">
        <v>30</v>
      </c>
      <c r="D855">
        <v>5</v>
      </c>
      <c r="E855">
        <v>47.64</v>
      </c>
      <c r="F855" t="str">
        <f t="shared" si="26"/>
        <v>2024-10</v>
      </c>
      <c r="G855">
        <f t="shared" si="27"/>
        <v>238.2</v>
      </c>
      <c r="H855" s="2">
        <v>45592.857630524908</v>
      </c>
      <c r="I855" t="s">
        <v>33</v>
      </c>
      <c r="J855" t="s">
        <v>1753</v>
      </c>
    </row>
    <row r="856" spans="1:10" x14ac:dyDescent="0.3">
      <c r="A856" t="s">
        <v>1754</v>
      </c>
      <c r="B856" t="s">
        <v>17</v>
      </c>
      <c r="C856" t="s">
        <v>29</v>
      </c>
      <c r="D856">
        <v>1</v>
      </c>
      <c r="E856">
        <v>41.08</v>
      </c>
      <c r="F856" t="str">
        <f t="shared" si="26"/>
        <v>2024-05</v>
      </c>
      <c r="G856">
        <f t="shared" si="27"/>
        <v>41.08</v>
      </c>
      <c r="H856" s="2">
        <v>45423.857630524908</v>
      </c>
      <c r="I856" t="s">
        <v>35</v>
      </c>
      <c r="J856" t="s">
        <v>1755</v>
      </c>
    </row>
    <row r="857" spans="1:10" x14ac:dyDescent="0.3">
      <c r="A857" t="s">
        <v>1756</v>
      </c>
      <c r="B857" t="s">
        <v>16</v>
      </c>
      <c r="C857" t="s">
        <v>29</v>
      </c>
      <c r="D857">
        <v>2</v>
      </c>
      <c r="E857">
        <v>43.85</v>
      </c>
      <c r="F857" t="str">
        <f t="shared" si="26"/>
        <v>2024-05</v>
      </c>
      <c r="G857">
        <f t="shared" si="27"/>
        <v>87.7</v>
      </c>
      <c r="H857" s="2">
        <v>45435.857630524908</v>
      </c>
      <c r="I857" t="s">
        <v>32</v>
      </c>
      <c r="J857" t="s">
        <v>1757</v>
      </c>
    </row>
    <row r="858" spans="1:10" x14ac:dyDescent="0.3">
      <c r="A858" t="s">
        <v>1758</v>
      </c>
      <c r="B858" t="s">
        <v>17</v>
      </c>
      <c r="C858" t="s">
        <v>29</v>
      </c>
      <c r="D858">
        <v>3</v>
      </c>
      <c r="E858">
        <v>35.61</v>
      </c>
      <c r="F858" t="str">
        <f t="shared" si="26"/>
        <v>2025-01</v>
      </c>
      <c r="G858">
        <f t="shared" si="27"/>
        <v>106.83</v>
      </c>
      <c r="H858" s="2">
        <v>45672.857630524908</v>
      </c>
      <c r="I858" t="s">
        <v>31</v>
      </c>
      <c r="J858" t="s">
        <v>1759</v>
      </c>
    </row>
    <row r="859" spans="1:10" x14ac:dyDescent="0.3">
      <c r="A859" t="s">
        <v>1760</v>
      </c>
      <c r="B859" t="s">
        <v>16</v>
      </c>
      <c r="C859" t="s">
        <v>29</v>
      </c>
      <c r="D859">
        <v>2</v>
      </c>
      <c r="E859">
        <v>33.07</v>
      </c>
      <c r="F859" t="str">
        <f t="shared" si="26"/>
        <v>2025-01</v>
      </c>
      <c r="G859">
        <f t="shared" si="27"/>
        <v>66.14</v>
      </c>
      <c r="H859" s="2">
        <v>45673.857630524908</v>
      </c>
      <c r="I859" t="s">
        <v>35</v>
      </c>
      <c r="J859" t="s">
        <v>1761</v>
      </c>
    </row>
    <row r="860" spans="1:10" x14ac:dyDescent="0.3">
      <c r="A860" t="s">
        <v>1762</v>
      </c>
      <c r="B860" t="s">
        <v>23</v>
      </c>
      <c r="C860" t="s">
        <v>28</v>
      </c>
      <c r="D860">
        <v>3</v>
      </c>
      <c r="E860">
        <v>38.29</v>
      </c>
      <c r="F860" t="str">
        <f t="shared" si="26"/>
        <v>2025-03</v>
      </c>
      <c r="G860">
        <f t="shared" si="27"/>
        <v>114.87</v>
      </c>
      <c r="H860" s="2">
        <v>45737.857630524908</v>
      </c>
      <c r="I860" t="s">
        <v>31</v>
      </c>
      <c r="J860" t="s">
        <v>1763</v>
      </c>
    </row>
    <row r="861" spans="1:10" x14ac:dyDescent="0.3">
      <c r="A861" t="s">
        <v>1764</v>
      </c>
      <c r="B861" t="s">
        <v>18</v>
      </c>
      <c r="C861" t="s">
        <v>29</v>
      </c>
      <c r="D861">
        <v>4</v>
      </c>
      <c r="E861">
        <v>56.6</v>
      </c>
      <c r="F861" t="str">
        <f t="shared" si="26"/>
        <v>2024-10</v>
      </c>
      <c r="G861">
        <f t="shared" si="27"/>
        <v>226.4</v>
      </c>
      <c r="H861" s="2">
        <v>45585.857630524908</v>
      </c>
      <c r="I861" t="s">
        <v>35</v>
      </c>
      <c r="J861" t="s">
        <v>1765</v>
      </c>
    </row>
    <row r="862" spans="1:10" x14ac:dyDescent="0.3">
      <c r="A862" t="s">
        <v>1766</v>
      </c>
      <c r="B862" t="s">
        <v>20</v>
      </c>
      <c r="C862" t="s">
        <v>30</v>
      </c>
      <c r="D862">
        <v>3</v>
      </c>
      <c r="E862">
        <v>26.7</v>
      </c>
      <c r="F862" t="str">
        <f t="shared" si="26"/>
        <v>2024-04</v>
      </c>
      <c r="G862">
        <f t="shared" si="27"/>
        <v>80.099999999999994</v>
      </c>
      <c r="H862" s="2">
        <v>45409.857630524908</v>
      </c>
      <c r="I862" t="s">
        <v>35</v>
      </c>
      <c r="J862" t="s">
        <v>1767</v>
      </c>
    </row>
    <row r="863" spans="1:10" x14ac:dyDescent="0.3">
      <c r="A863" t="s">
        <v>1768</v>
      </c>
      <c r="B863" t="s">
        <v>17</v>
      </c>
      <c r="C863" t="s">
        <v>29</v>
      </c>
      <c r="D863">
        <v>2</v>
      </c>
      <c r="E863">
        <v>59.99</v>
      </c>
      <c r="F863" t="str">
        <f t="shared" si="26"/>
        <v>2025-03</v>
      </c>
      <c r="G863">
        <f t="shared" si="27"/>
        <v>119.98</v>
      </c>
      <c r="H863" s="2">
        <v>45740.857630524908</v>
      </c>
      <c r="I863" t="s">
        <v>33</v>
      </c>
      <c r="J863" t="s">
        <v>1769</v>
      </c>
    </row>
    <row r="864" spans="1:10" x14ac:dyDescent="0.3">
      <c r="A864" t="s">
        <v>1770</v>
      </c>
      <c r="B864" t="s">
        <v>20</v>
      </c>
      <c r="C864" t="s">
        <v>30</v>
      </c>
      <c r="D864">
        <v>5</v>
      </c>
      <c r="E864">
        <v>22.51</v>
      </c>
      <c r="F864" t="str">
        <f t="shared" si="26"/>
        <v>2024-09</v>
      </c>
      <c r="G864">
        <f t="shared" si="27"/>
        <v>112.55000000000001</v>
      </c>
      <c r="H864" s="2">
        <v>45549.857630524908</v>
      </c>
      <c r="I864" t="s">
        <v>32</v>
      </c>
      <c r="J864" t="s">
        <v>1771</v>
      </c>
    </row>
    <row r="865" spans="1:10" x14ac:dyDescent="0.3">
      <c r="A865" t="s">
        <v>1772</v>
      </c>
      <c r="B865" t="s">
        <v>17</v>
      </c>
      <c r="C865" t="s">
        <v>29</v>
      </c>
      <c r="D865">
        <v>2</v>
      </c>
      <c r="E865">
        <v>17.05</v>
      </c>
      <c r="F865" t="str">
        <f t="shared" si="26"/>
        <v>2024-04</v>
      </c>
      <c r="G865">
        <f t="shared" si="27"/>
        <v>34.1</v>
      </c>
      <c r="H865" s="2">
        <v>45411.857630524908</v>
      </c>
      <c r="I865" t="s">
        <v>33</v>
      </c>
      <c r="J865" t="s">
        <v>1773</v>
      </c>
    </row>
    <row r="866" spans="1:10" x14ac:dyDescent="0.3">
      <c r="A866" t="s">
        <v>1774</v>
      </c>
      <c r="B866" t="s">
        <v>18</v>
      </c>
      <c r="C866" t="s">
        <v>29</v>
      </c>
      <c r="D866">
        <v>3</v>
      </c>
      <c r="E866">
        <v>53.15</v>
      </c>
      <c r="F866" t="str">
        <f t="shared" si="26"/>
        <v>2024-06</v>
      </c>
      <c r="G866">
        <f t="shared" si="27"/>
        <v>159.44999999999999</v>
      </c>
      <c r="H866" s="2">
        <v>45456.857630524908</v>
      </c>
      <c r="I866" t="s">
        <v>33</v>
      </c>
      <c r="J866" t="s">
        <v>1775</v>
      </c>
    </row>
    <row r="867" spans="1:10" x14ac:dyDescent="0.3">
      <c r="A867" t="s">
        <v>1776</v>
      </c>
      <c r="B867" t="s">
        <v>19</v>
      </c>
      <c r="C867" t="s">
        <v>28</v>
      </c>
      <c r="D867">
        <v>4</v>
      </c>
      <c r="E867">
        <v>47.23</v>
      </c>
      <c r="F867" t="str">
        <f t="shared" si="26"/>
        <v>2024-12</v>
      </c>
      <c r="G867">
        <f t="shared" si="27"/>
        <v>188.92</v>
      </c>
      <c r="H867" s="2">
        <v>45652.857630524908</v>
      </c>
      <c r="I867" t="s">
        <v>31</v>
      </c>
      <c r="J867" t="s">
        <v>1777</v>
      </c>
    </row>
    <row r="868" spans="1:10" x14ac:dyDescent="0.3">
      <c r="A868" t="s">
        <v>1778</v>
      </c>
      <c r="B868" t="s">
        <v>21</v>
      </c>
      <c r="C868" t="s">
        <v>30</v>
      </c>
      <c r="D868">
        <v>1</v>
      </c>
      <c r="E868">
        <v>13.29</v>
      </c>
      <c r="F868" t="str">
        <f t="shared" si="26"/>
        <v>2025-01</v>
      </c>
      <c r="G868">
        <f t="shared" si="27"/>
        <v>13.29</v>
      </c>
      <c r="H868" s="2">
        <v>45677.857630524908</v>
      </c>
      <c r="I868" t="s">
        <v>33</v>
      </c>
      <c r="J868" t="s">
        <v>1779</v>
      </c>
    </row>
    <row r="869" spans="1:10" x14ac:dyDescent="0.3">
      <c r="A869" t="s">
        <v>1780</v>
      </c>
      <c r="B869" t="s">
        <v>19</v>
      </c>
      <c r="C869" t="s">
        <v>28</v>
      </c>
      <c r="D869">
        <v>3</v>
      </c>
      <c r="E869">
        <v>24.48</v>
      </c>
      <c r="F869" t="str">
        <f t="shared" si="26"/>
        <v>2024-06</v>
      </c>
      <c r="G869">
        <f t="shared" si="27"/>
        <v>73.44</v>
      </c>
      <c r="H869" s="2">
        <v>45453.857630524908</v>
      </c>
      <c r="I869" t="s">
        <v>35</v>
      </c>
      <c r="J869" t="s">
        <v>1781</v>
      </c>
    </row>
    <row r="870" spans="1:10" x14ac:dyDescent="0.3">
      <c r="A870" t="s">
        <v>1782</v>
      </c>
      <c r="B870" t="s">
        <v>19</v>
      </c>
      <c r="C870" t="s">
        <v>28</v>
      </c>
      <c r="D870">
        <v>5</v>
      </c>
      <c r="E870">
        <v>12.09</v>
      </c>
      <c r="F870" t="str">
        <f t="shared" si="26"/>
        <v>2024-12</v>
      </c>
      <c r="G870">
        <f t="shared" si="27"/>
        <v>60.45</v>
      </c>
      <c r="H870" s="2">
        <v>45643.857630524908</v>
      </c>
      <c r="I870" t="s">
        <v>35</v>
      </c>
      <c r="J870" t="s">
        <v>1783</v>
      </c>
    </row>
    <row r="871" spans="1:10" x14ac:dyDescent="0.3">
      <c r="A871" t="s">
        <v>1784</v>
      </c>
      <c r="B871" t="s">
        <v>20</v>
      </c>
      <c r="C871" t="s">
        <v>30</v>
      </c>
      <c r="D871">
        <v>5</v>
      </c>
      <c r="E871">
        <v>37.11</v>
      </c>
      <c r="F871" t="str">
        <f t="shared" si="26"/>
        <v>2025-02</v>
      </c>
      <c r="G871">
        <f t="shared" si="27"/>
        <v>185.55</v>
      </c>
      <c r="H871" s="2">
        <v>45701.857630524908</v>
      </c>
      <c r="I871" t="s">
        <v>35</v>
      </c>
      <c r="J871" t="s">
        <v>1785</v>
      </c>
    </row>
    <row r="872" spans="1:10" x14ac:dyDescent="0.3">
      <c r="A872" t="s">
        <v>1786</v>
      </c>
      <c r="B872" t="s">
        <v>26</v>
      </c>
      <c r="C872" t="s">
        <v>28</v>
      </c>
      <c r="D872">
        <v>3</v>
      </c>
      <c r="E872">
        <v>43.73</v>
      </c>
      <c r="F872" t="str">
        <f t="shared" si="26"/>
        <v>2025-02</v>
      </c>
      <c r="G872">
        <f t="shared" si="27"/>
        <v>131.19</v>
      </c>
      <c r="H872" s="2">
        <v>45704.857630524908</v>
      </c>
      <c r="I872" t="s">
        <v>33</v>
      </c>
      <c r="J872" t="s">
        <v>1787</v>
      </c>
    </row>
    <row r="873" spans="1:10" x14ac:dyDescent="0.3">
      <c r="A873" t="s">
        <v>1788</v>
      </c>
      <c r="B873" t="s">
        <v>21</v>
      </c>
      <c r="C873" t="s">
        <v>30</v>
      </c>
      <c r="D873">
        <v>4</v>
      </c>
      <c r="E873">
        <v>30.42</v>
      </c>
      <c r="F873" t="str">
        <f t="shared" si="26"/>
        <v>2024-11</v>
      </c>
      <c r="G873">
        <f t="shared" si="27"/>
        <v>121.68</v>
      </c>
      <c r="H873" s="2">
        <v>45598.857630524908</v>
      </c>
      <c r="I873" t="s">
        <v>35</v>
      </c>
      <c r="J873" t="s">
        <v>1789</v>
      </c>
    </row>
    <row r="874" spans="1:10" x14ac:dyDescent="0.3">
      <c r="A874" t="s">
        <v>1790</v>
      </c>
      <c r="B874" t="s">
        <v>25</v>
      </c>
      <c r="C874" t="s">
        <v>30</v>
      </c>
      <c r="D874">
        <v>4</v>
      </c>
      <c r="E874">
        <v>35.950000000000003</v>
      </c>
      <c r="F874" t="str">
        <f t="shared" si="26"/>
        <v>2024-05</v>
      </c>
      <c r="G874">
        <f t="shared" si="27"/>
        <v>143.80000000000001</v>
      </c>
      <c r="H874" s="2">
        <v>45443.857630524908</v>
      </c>
      <c r="I874" t="s">
        <v>31</v>
      </c>
      <c r="J874" t="s">
        <v>1791</v>
      </c>
    </row>
    <row r="875" spans="1:10" x14ac:dyDescent="0.3">
      <c r="A875" t="s">
        <v>1792</v>
      </c>
      <c r="B875" t="s">
        <v>27</v>
      </c>
      <c r="C875" t="s">
        <v>28</v>
      </c>
      <c r="D875">
        <v>1</v>
      </c>
      <c r="E875">
        <v>39.57</v>
      </c>
      <c r="F875" t="str">
        <f t="shared" si="26"/>
        <v>2024-12</v>
      </c>
      <c r="G875">
        <f t="shared" si="27"/>
        <v>39.57</v>
      </c>
      <c r="H875" s="2">
        <v>45654.857630524908</v>
      </c>
      <c r="I875" t="s">
        <v>32</v>
      </c>
      <c r="J875" t="s">
        <v>1793</v>
      </c>
    </row>
    <row r="876" spans="1:10" x14ac:dyDescent="0.3">
      <c r="A876" t="s">
        <v>1794</v>
      </c>
      <c r="B876" t="s">
        <v>25</v>
      </c>
      <c r="C876" t="s">
        <v>30</v>
      </c>
      <c r="D876">
        <v>4</v>
      </c>
      <c r="E876">
        <v>12.8</v>
      </c>
      <c r="F876" t="str">
        <f t="shared" si="26"/>
        <v>2024-11</v>
      </c>
      <c r="G876">
        <f t="shared" si="27"/>
        <v>51.2</v>
      </c>
      <c r="H876" s="2">
        <v>45623.857630524908</v>
      </c>
      <c r="I876" t="s">
        <v>33</v>
      </c>
      <c r="J876" t="s">
        <v>1795</v>
      </c>
    </row>
    <row r="877" spans="1:10" x14ac:dyDescent="0.3">
      <c r="A877" t="s">
        <v>1796</v>
      </c>
      <c r="B877" t="s">
        <v>22</v>
      </c>
      <c r="C877" t="s">
        <v>30</v>
      </c>
      <c r="D877">
        <v>5</v>
      </c>
      <c r="E877">
        <v>31.04</v>
      </c>
      <c r="F877" t="str">
        <f t="shared" si="26"/>
        <v>2024-05</v>
      </c>
      <c r="G877">
        <f t="shared" si="27"/>
        <v>155.19999999999999</v>
      </c>
      <c r="H877" s="2">
        <v>45438.857630524908</v>
      </c>
      <c r="I877" t="s">
        <v>33</v>
      </c>
      <c r="J877" t="s">
        <v>1797</v>
      </c>
    </row>
    <row r="878" spans="1:10" x14ac:dyDescent="0.3">
      <c r="A878" t="s">
        <v>1798</v>
      </c>
      <c r="B878" t="s">
        <v>20</v>
      </c>
      <c r="C878" t="s">
        <v>30</v>
      </c>
      <c r="D878">
        <v>2</v>
      </c>
      <c r="E878">
        <v>33.700000000000003</v>
      </c>
      <c r="F878" t="str">
        <f t="shared" si="26"/>
        <v>2025-03</v>
      </c>
      <c r="G878">
        <f t="shared" si="27"/>
        <v>67.400000000000006</v>
      </c>
      <c r="H878" s="2">
        <v>45725.857630524908</v>
      </c>
      <c r="I878" t="s">
        <v>35</v>
      </c>
      <c r="J878" t="s">
        <v>1799</v>
      </c>
    </row>
    <row r="879" spans="1:10" x14ac:dyDescent="0.3">
      <c r="A879" t="s">
        <v>1800</v>
      </c>
      <c r="B879" t="s">
        <v>18</v>
      </c>
      <c r="C879" t="s">
        <v>29</v>
      </c>
      <c r="D879">
        <v>3</v>
      </c>
      <c r="E879">
        <v>55.45</v>
      </c>
      <c r="F879" t="str">
        <f t="shared" si="26"/>
        <v>2024-10</v>
      </c>
      <c r="G879">
        <f t="shared" si="27"/>
        <v>166.35000000000002</v>
      </c>
      <c r="H879" s="2">
        <v>45583.857630524908</v>
      </c>
      <c r="I879" t="s">
        <v>33</v>
      </c>
      <c r="J879" t="s">
        <v>1801</v>
      </c>
    </row>
    <row r="880" spans="1:10" x14ac:dyDescent="0.3">
      <c r="A880" t="s">
        <v>1802</v>
      </c>
      <c r="B880" t="s">
        <v>26</v>
      </c>
      <c r="C880" t="s">
        <v>28</v>
      </c>
      <c r="D880">
        <v>4</v>
      </c>
      <c r="E880">
        <v>13.74</v>
      </c>
      <c r="F880" t="str">
        <f t="shared" si="26"/>
        <v>2025-03</v>
      </c>
      <c r="G880">
        <f t="shared" si="27"/>
        <v>54.96</v>
      </c>
      <c r="H880" s="2">
        <v>45726.857630524908</v>
      </c>
      <c r="I880" t="s">
        <v>34</v>
      </c>
      <c r="J880" t="s">
        <v>1803</v>
      </c>
    </row>
    <row r="881" spans="1:10" x14ac:dyDescent="0.3">
      <c r="A881" t="s">
        <v>1804</v>
      </c>
      <c r="B881" t="s">
        <v>27</v>
      </c>
      <c r="C881" t="s">
        <v>28</v>
      </c>
      <c r="D881">
        <v>1</v>
      </c>
      <c r="E881">
        <v>52.81</v>
      </c>
      <c r="F881" t="str">
        <f t="shared" si="26"/>
        <v>2024-12</v>
      </c>
      <c r="G881">
        <f t="shared" si="27"/>
        <v>52.81</v>
      </c>
      <c r="H881" s="2">
        <v>45652.857630524908</v>
      </c>
      <c r="I881" t="s">
        <v>32</v>
      </c>
      <c r="J881" t="s">
        <v>1805</v>
      </c>
    </row>
    <row r="882" spans="1:10" x14ac:dyDescent="0.3">
      <c r="A882" t="s">
        <v>1806</v>
      </c>
      <c r="B882" t="s">
        <v>20</v>
      </c>
      <c r="C882" t="s">
        <v>30</v>
      </c>
      <c r="D882">
        <v>2</v>
      </c>
      <c r="E882">
        <v>36.450000000000003</v>
      </c>
      <c r="F882" t="str">
        <f t="shared" si="26"/>
        <v>2024-04</v>
      </c>
      <c r="G882">
        <f t="shared" si="27"/>
        <v>72.900000000000006</v>
      </c>
      <c r="H882" s="2">
        <v>45391.857630524908</v>
      </c>
      <c r="I882" t="s">
        <v>31</v>
      </c>
      <c r="J882" t="s">
        <v>1807</v>
      </c>
    </row>
    <row r="883" spans="1:10" x14ac:dyDescent="0.3">
      <c r="A883" t="s">
        <v>1808</v>
      </c>
      <c r="B883" t="s">
        <v>17</v>
      </c>
      <c r="C883" t="s">
        <v>29</v>
      </c>
      <c r="D883">
        <v>2</v>
      </c>
      <c r="E883">
        <v>38.58</v>
      </c>
      <c r="F883" t="str">
        <f t="shared" si="26"/>
        <v>2025-03</v>
      </c>
      <c r="G883">
        <f t="shared" si="27"/>
        <v>77.16</v>
      </c>
      <c r="H883" s="2">
        <v>45729.857630524908</v>
      </c>
      <c r="I883" t="s">
        <v>31</v>
      </c>
      <c r="J883" t="s">
        <v>1809</v>
      </c>
    </row>
    <row r="884" spans="1:10" x14ac:dyDescent="0.3">
      <c r="A884" t="s">
        <v>1810</v>
      </c>
      <c r="B884" t="s">
        <v>26</v>
      </c>
      <c r="C884" t="s">
        <v>28</v>
      </c>
      <c r="D884">
        <v>2</v>
      </c>
      <c r="E884">
        <v>46.82</v>
      </c>
      <c r="F884" t="str">
        <f t="shared" si="26"/>
        <v>2024-07</v>
      </c>
      <c r="G884">
        <f t="shared" si="27"/>
        <v>93.64</v>
      </c>
      <c r="H884" s="2">
        <v>45483.857630524908</v>
      </c>
      <c r="I884" t="s">
        <v>31</v>
      </c>
      <c r="J884" t="s">
        <v>1811</v>
      </c>
    </row>
    <row r="885" spans="1:10" x14ac:dyDescent="0.3">
      <c r="A885" t="s">
        <v>1812</v>
      </c>
      <c r="B885" t="s">
        <v>20</v>
      </c>
      <c r="C885" t="s">
        <v>30</v>
      </c>
      <c r="D885">
        <v>4</v>
      </c>
      <c r="E885">
        <v>25.89</v>
      </c>
      <c r="F885" t="str">
        <f t="shared" si="26"/>
        <v>2024-04</v>
      </c>
      <c r="G885">
        <f t="shared" si="27"/>
        <v>103.56</v>
      </c>
      <c r="H885" s="2">
        <v>45391.857630524908</v>
      </c>
      <c r="I885" t="s">
        <v>35</v>
      </c>
      <c r="J885" t="s">
        <v>1813</v>
      </c>
    </row>
    <row r="886" spans="1:10" x14ac:dyDescent="0.3">
      <c r="A886" t="s">
        <v>1814</v>
      </c>
      <c r="B886" t="s">
        <v>27</v>
      </c>
      <c r="C886" t="s">
        <v>28</v>
      </c>
      <c r="D886">
        <v>3</v>
      </c>
      <c r="E886">
        <v>45.78</v>
      </c>
      <c r="F886" t="str">
        <f t="shared" si="26"/>
        <v>2024-10</v>
      </c>
      <c r="G886">
        <f t="shared" si="27"/>
        <v>137.34</v>
      </c>
      <c r="H886" s="2">
        <v>45590.857630524908</v>
      </c>
      <c r="I886" t="s">
        <v>31</v>
      </c>
      <c r="J886" t="s">
        <v>1815</v>
      </c>
    </row>
    <row r="887" spans="1:10" x14ac:dyDescent="0.3">
      <c r="A887" t="s">
        <v>1816</v>
      </c>
      <c r="B887" t="s">
        <v>27</v>
      </c>
      <c r="C887" t="s">
        <v>28</v>
      </c>
      <c r="D887">
        <v>1</v>
      </c>
      <c r="E887">
        <v>53.67</v>
      </c>
      <c r="F887" t="str">
        <f t="shared" si="26"/>
        <v>2024-05</v>
      </c>
      <c r="G887">
        <f t="shared" si="27"/>
        <v>53.67</v>
      </c>
      <c r="H887" s="2">
        <v>45416.857630524908</v>
      </c>
      <c r="I887" t="s">
        <v>34</v>
      </c>
      <c r="J887" t="s">
        <v>1817</v>
      </c>
    </row>
    <row r="888" spans="1:10" x14ac:dyDescent="0.3">
      <c r="A888" t="s">
        <v>1818</v>
      </c>
      <c r="B888" t="s">
        <v>22</v>
      </c>
      <c r="C888" t="s">
        <v>30</v>
      </c>
      <c r="D888">
        <v>2</v>
      </c>
      <c r="E888">
        <v>36.71</v>
      </c>
      <c r="F888" t="str">
        <f t="shared" si="26"/>
        <v>2024-10</v>
      </c>
      <c r="G888">
        <f t="shared" si="27"/>
        <v>73.42</v>
      </c>
      <c r="H888" s="2">
        <v>45583.857630524908</v>
      </c>
      <c r="I888" t="s">
        <v>34</v>
      </c>
      <c r="J888" t="s">
        <v>1819</v>
      </c>
    </row>
    <row r="889" spans="1:10" x14ac:dyDescent="0.3">
      <c r="A889" t="s">
        <v>1820</v>
      </c>
      <c r="B889" t="s">
        <v>17</v>
      </c>
      <c r="C889" t="s">
        <v>29</v>
      </c>
      <c r="D889">
        <v>2</v>
      </c>
      <c r="E889">
        <v>59.23</v>
      </c>
      <c r="F889" t="str">
        <f t="shared" si="26"/>
        <v>2024-10</v>
      </c>
      <c r="G889">
        <f t="shared" si="27"/>
        <v>118.46</v>
      </c>
      <c r="H889" s="2">
        <v>45570.857630524908</v>
      </c>
      <c r="I889" t="s">
        <v>32</v>
      </c>
      <c r="J889" t="s">
        <v>1821</v>
      </c>
    </row>
    <row r="890" spans="1:10" x14ac:dyDescent="0.3">
      <c r="A890" t="s">
        <v>1822</v>
      </c>
      <c r="B890" t="s">
        <v>22</v>
      </c>
      <c r="C890" t="s">
        <v>30</v>
      </c>
      <c r="D890">
        <v>2</v>
      </c>
      <c r="E890">
        <v>34.08</v>
      </c>
      <c r="F890" t="str">
        <f t="shared" si="26"/>
        <v>2025-02</v>
      </c>
      <c r="G890">
        <f t="shared" si="27"/>
        <v>68.16</v>
      </c>
      <c r="H890" s="2">
        <v>45702.857630524908</v>
      </c>
      <c r="I890" t="s">
        <v>31</v>
      </c>
      <c r="J890" t="s">
        <v>1823</v>
      </c>
    </row>
    <row r="891" spans="1:10" x14ac:dyDescent="0.3">
      <c r="A891" t="s">
        <v>1824</v>
      </c>
      <c r="B891" t="s">
        <v>20</v>
      </c>
      <c r="C891" t="s">
        <v>30</v>
      </c>
      <c r="D891">
        <v>5</v>
      </c>
      <c r="E891">
        <v>51.49</v>
      </c>
      <c r="F891" t="str">
        <f t="shared" si="26"/>
        <v>2024-05</v>
      </c>
      <c r="G891">
        <f t="shared" si="27"/>
        <v>257.45</v>
      </c>
      <c r="H891" s="2">
        <v>45414.857630524908</v>
      </c>
      <c r="I891" t="s">
        <v>35</v>
      </c>
      <c r="J891" t="s">
        <v>1825</v>
      </c>
    </row>
    <row r="892" spans="1:10" x14ac:dyDescent="0.3">
      <c r="A892" t="s">
        <v>1826</v>
      </c>
      <c r="B892" t="s">
        <v>17</v>
      </c>
      <c r="C892" t="s">
        <v>29</v>
      </c>
      <c r="D892">
        <v>4</v>
      </c>
      <c r="E892">
        <v>32.799999999999997</v>
      </c>
      <c r="F892" t="str">
        <f t="shared" si="26"/>
        <v>2025-02</v>
      </c>
      <c r="G892">
        <f t="shared" si="27"/>
        <v>131.19999999999999</v>
      </c>
      <c r="H892" s="2">
        <v>45696.857630524908</v>
      </c>
      <c r="I892" t="s">
        <v>31</v>
      </c>
      <c r="J892" t="s">
        <v>1827</v>
      </c>
    </row>
    <row r="893" spans="1:10" x14ac:dyDescent="0.3">
      <c r="A893" t="s">
        <v>1828</v>
      </c>
      <c r="B893" t="s">
        <v>19</v>
      </c>
      <c r="C893" t="s">
        <v>28</v>
      </c>
      <c r="D893">
        <v>4</v>
      </c>
      <c r="E893">
        <v>20.34</v>
      </c>
      <c r="F893" t="str">
        <f t="shared" si="26"/>
        <v>2025-02</v>
      </c>
      <c r="G893">
        <f t="shared" si="27"/>
        <v>81.36</v>
      </c>
      <c r="H893" s="2">
        <v>45708.857630524908</v>
      </c>
      <c r="I893" t="s">
        <v>34</v>
      </c>
      <c r="J893" t="s">
        <v>1829</v>
      </c>
    </row>
    <row r="894" spans="1:10" x14ac:dyDescent="0.3">
      <c r="A894" t="s">
        <v>1830</v>
      </c>
      <c r="B894" t="s">
        <v>16</v>
      </c>
      <c r="C894" t="s">
        <v>29</v>
      </c>
      <c r="D894">
        <v>4</v>
      </c>
      <c r="E894">
        <v>10.84</v>
      </c>
      <c r="F894" t="str">
        <f t="shared" si="26"/>
        <v>2024-10</v>
      </c>
      <c r="G894">
        <f t="shared" si="27"/>
        <v>43.36</v>
      </c>
      <c r="H894" s="2">
        <v>45594.857630524908</v>
      </c>
      <c r="I894" t="s">
        <v>31</v>
      </c>
      <c r="J894" t="s">
        <v>1831</v>
      </c>
    </row>
    <row r="895" spans="1:10" x14ac:dyDescent="0.3">
      <c r="A895" t="s">
        <v>1832</v>
      </c>
      <c r="B895" t="s">
        <v>25</v>
      </c>
      <c r="C895" t="s">
        <v>30</v>
      </c>
      <c r="D895">
        <v>2</v>
      </c>
      <c r="E895">
        <v>51.14</v>
      </c>
      <c r="F895" t="str">
        <f t="shared" si="26"/>
        <v>2024-10</v>
      </c>
      <c r="G895">
        <f t="shared" si="27"/>
        <v>102.28</v>
      </c>
      <c r="H895" s="2">
        <v>45581.857630524908</v>
      </c>
      <c r="I895" t="s">
        <v>33</v>
      </c>
      <c r="J895" t="s">
        <v>1833</v>
      </c>
    </row>
    <row r="896" spans="1:10" x14ac:dyDescent="0.3">
      <c r="A896" t="s">
        <v>1834</v>
      </c>
      <c r="B896" t="s">
        <v>23</v>
      </c>
      <c r="C896" t="s">
        <v>28</v>
      </c>
      <c r="D896">
        <v>1</v>
      </c>
      <c r="E896">
        <v>50.42</v>
      </c>
      <c r="F896" t="str">
        <f t="shared" si="26"/>
        <v>2025-03</v>
      </c>
      <c r="G896">
        <f t="shared" si="27"/>
        <v>50.42</v>
      </c>
      <c r="H896" s="2">
        <v>45727.857630524908</v>
      </c>
      <c r="I896" t="s">
        <v>33</v>
      </c>
      <c r="J896" t="s">
        <v>1835</v>
      </c>
    </row>
    <row r="897" spans="1:10" x14ac:dyDescent="0.3">
      <c r="A897" t="s">
        <v>1836</v>
      </c>
      <c r="B897" t="s">
        <v>21</v>
      </c>
      <c r="C897" t="s">
        <v>30</v>
      </c>
      <c r="D897">
        <v>4</v>
      </c>
      <c r="E897">
        <v>45.06</v>
      </c>
      <c r="F897" t="str">
        <f t="shared" si="26"/>
        <v>2024-11</v>
      </c>
      <c r="G897">
        <f t="shared" si="27"/>
        <v>180.24</v>
      </c>
      <c r="H897" s="2">
        <v>45598.857630524908</v>
      </c>
      <c r="I897" t="s">
        <v>33</v>
      </c>
      <c r="J897" t="s">
        <v>1837</v>
      </c>
    </row>
    <row r="898" spans="1:10" x14ac:dyDescent="0.3">
      <c r="A898" t="s">
        <v>1838</v>
      </c>
      <c r="B898" t="s">
        <v>23</v>
      </c>
      <c r="C898" t="s">
        <v>28</v>
      </c>
      <c r="D898">
        <v>5</v>
      </c>
      <c r="E898">
        <v>26.73</v>
      </c>
      <c r="F898" t="str">
        <f t="shared" si="26"/>
        <v>2024-10</v>
      </c>
      <c r="G898">
        <f t="shared" si="27"/>
        <v>133.65</v>
      </c>
      <c r="H898" s="2">
        <v>45571.857630524908</v>
      </c>
      <c r="I898" t="s">
        <v>35</v>
      </c>
      <c r="J898" t="s">
        <v>1839</v>
      </c>
    </row>
    <row r="899" spans="1:10" x14ac:dyDescent="0.3">
      <c r="A899" t="s">
        <v>1840</v>
      </c>
      <c r="B899" t="s">
        <v>23</v>
      </c>
      <c r="C899" t="s">
        <v>28</v>
      </c>
      <c r="D899">
        <v>2</v>
      </c>
      <c r="E899">
        <v>13.68</v>
      </c>
      <c r="F899" t="str">
        <f t="shared" ref="F899:F962" si="28">TEXT(H899, "yyyy-mm")</f>
        <v>2025-03</v>
      </c>
      <c r="G899">
        <f t="shared" ref="G899:G962" si="29">D899*E899</f>
        <v>27.36</v>
      </c>
      <c r="H899" s="2">
        <v>45737.857630524908</v>
      </c>
      <c r="I899" t="s">
        <v>31</v>
      </c>
      <c r="J899" t="s">
        <v>1841</v>
      </c>
    </row>
    <row r="900" spans="1:10" x14ac:dyDescent="0.3">
      <c r="A900" t="s">
        <v>1842</v>
      </c>
      <c r="B900" t="s">
        <v>23</v>
      </c>
      <c r="C900" t="s">
        <v>28</v>
      </c>
      <c r="D900">
        <v>4</v>
      </c>
      <c r="E900">
        <v>17.11</v>
      </c>
      <c r="F900" t="str">
        <f t="shared" si="28"/>
        <v>2025-02</v>
      </c>
      <c r="G900">
        <f t="shared" si="29"/>
        <v>68.44</v>
      </c>
      <c r="H900" s="2">
        <v>45703.857630524908</v>
      </c>
      <c r="I900" t="s">
        <v>31</v>
      </c>
      <c r="J900" t="s">
        <v>1843</v>
      </c>
    </row>
    <row r="901" spans="1:10" x14ac:dyDescent="0.3">
      <c r="A901" t="s">
        <v>1844</v>
      </c>
      <c r="B901" t="s">
        <v>18</v>
      </c>
      <c r="C901" t="s">
        <v>29</v>
      </c>
      <c r="D901">
        <v>2</v>
      </c>
      <c r="E901">
        <v>28.44</v>
      </c>
      <c r="F901" t="str">
        <f t="shared" si="28"/>
        <v>2024-11</v>
      </c>
      <c r="G901">
        <f t="shared" si="29"/>
        <v>56.88</v>
      </c>
      <c r="H901" s="2">
        <v>45598.857630524908</v>
      </c>
      <c r="I901" t="s">
        <v>34</v>
      </c>
      <c r="J901" t="s">
        <v>1845</v>
      </c>
    </row>
    <row r="902" spans="1:10" x14ac:dyDescent="0.3">
      <c r="A902" t="s">
        <v>1846</v>
      </c>
      <c r="B902" t="s">
        <v>21</v>
      </c>
      <c r="C902" t="s">
        <v>30</v>
      </c>
      <c r="D902">
        <v>4</v>
      </c>
      <c r="E902">
        <v>44.58</v>
      </c>
      <c r="F902" t="str">
        <f t="shared" si="28"/>
        <v>2025-03</v>
      </c>
      <c r="G902">
        <f t="shared" si="29"/>
        <v>178.32</v>
      </c>
      <c r="H902" s="2">
        <v>45719.857630524908</v>
      </c>
      <c r="I902" t="s">
        <v>31</v>
      </c>
      <c r="J902" t="s">
        <v>1847</v>
      </c>
    </row>
    <row r="903" spans="1:10" x14ac:dyDescent="0.3">
      <c r="A903" t="s">
        <v>1848</v>
      </c>
      <c r="B903" t="s">
        <v>16</v>
      </c>
      <c r="C903" t="s">
        <v>29</v>
      </c>
      <c r="D903">
        <v>4</v>
      </c>
      <c r="E903">
        <v>47.08</v>
      </c>
      <c r="F903" t="str">
        <f t="shared" si="28"/>
        <v>2024-12</v>
      </c>
      <c r="G903">
        <f t="shared" si="29"/>
        <v>188.32</v>
      </c>
      <c r="H903" s="2">
        <v>45636.857630524908</v>
      </c>
      <c r="I903" t="s">
        <v>33</v>
      </c>
      <c r="J903" t="s">
        <v>1849</v>
      </c>
    </row>
    <row r="904" spans="1:10" x14ac:dyDescent="0.3">
      <c r="A904" t="s">
        <v>1850</v>
      </c>
      <c r="B904" t="s">
        <v>23</v>
      </c>
      <c r="C904" t="s">
        <v>28</v>
      </c>
      <c r="D904">
        <v>1</v>
      </c>
      <c r="E904">
        <v>42.74</v>
      </c>
      <c r="F904" t="str">
        <f t="shared" si="28"/>
        <v>2024-08</v>
      </c>
      <c r="G904">
        <f t="shared" si="29"/>
        <v>42.74</v>
      </c>
      <c r="H904" s="2">
        <v>45511.857630524908</v>
      </c>
      <c r="I904" t="s">
        <v>34</v>
      </c>
      <c r="J904" t="s">
        <v>1851</v>
      </c>
    </row>
    <row r="905" spans="1:10" x14ac:dyDescent="0.3">
      <c r="A905" t="s">
        <v>1852</v>
      </c>
      <c r="B905" t="s">
        <v>23</v>
      </c>
      <c r="C905" t="s">
        <v>28</v>
      </c>
      <c r="D905">
        <v>3</v>
      </c>
      <c r="E905">
        <v>51.09</v>
      </c>
      <c r="F905" t="str">
        <f t="shared" si="28"/>
        <v>2024-10</v>
      </c>
      <c r="G905">
        <f t="shared" si="29"/>
        <v>153.27000000000001</v>
      </c>
      <c r="H905" s="2">
        <v>45570.857630524908</v>
      </c>
      <c r="I905" t="s">
        <v>34</v>
      </c>
      <c r="J905" t="s">
        <v>1853</v>
      </c>
    </row>
    <row r="906" spans="1:10" x14ac:dyDescent="0.3">
      <c r="A906" t="s">
        <v>1854</v>
      </c>
      <c r="B906" t="s">
        <v>19</v>
      </c>
      <c r="C906" t="s">
        <v>28</v>
      </c>
      <c r="D906">
        <v>1</v>
      </c>
      <c r="E906">
        <v>15.56</v>
      </c>
      <c r="F906" t="str">
        <f t="shared" si="28"/>
        <v>2025-03</v>
      </c>
      <c r="G906">
        <f t="shared" si="29"/>
        <v>15.56</v>
      </c>
      <c r="H906" s="2">
        <v>45717.857630524908</v>
      </c>
      <c r="I906" t="s">
        <v>34</v>
      </c>
      <c r="J906" t="s">
        <v>1855</v>
      </c>
    </row>
    <row r="907" spans="1:10" x14ac:dyDescent="0.3">
      <c r="A907" t="s">
        <v>1856</v>
      </c>
      <c r="B907" t="s">
        <v>25</v>
      </c>
      <c r="C907" t="s">
        <v>30</v>
      </c>
      <c r="D907">
        <v>1</v>
      </c>
      <c r="E907">
        <v>11.55</v>
      </c>
      <c r="F907" t="str">
        <f t="shared" si="28"/>
        <v>2024-04</v>
      </c>
      <c r="G907">
        <f t="shared" si="29"/>
        <v>11.55</v>
      </c>
      <c r="H907" s="2">
        <v>45408.857630524908</v>
      </c>
      <c r="I907" t="s">
        <v>34</v>
      </c>
      <c r="J907" t="s">
        <v>1857</v>
      </c>
    </row>
    <row r="908" spans="1:10" x14ac:dyDescent="0.3">
      <c r="A908" t="s">
        <v>1858</v>
      </c>
      <c r="B908" t="s">
        <v>16</v>
      </c>
      <c r="C908" t="s">
        <v>29</v>
      </c>
      <c r="D908">
        <v>3</v>
      </c>
      <c r="E908">
        <v>25.49</v>
      </c>
      <c r="F908" t="str">
        <f t="shared" si="28"/>
        <v>2025-01</v>
      </c>
      <c r="G908">
        <f t="shared" si="29"/>
        <v>76.47</v>
      </c>
      <c r="H908" s="2">
        <v>45681.857630524908</v>
      </c>
      <c r="I908" t="s">
        <v>32</v>
      </c>
      <c r="J908" t="s">
        <v>1859</v>
      </c>
    </row>
    <row r="909" spans="1:10" x14ac:dyDescent="0.3">
      <c r="A909" t="s">
        <v>1860</v>
      </c>
      <c r="B909" t="s">
        <v>26</v>
      </c>
      <c r="C909" t="s">
        <v>28</v>
      </c>
      <c r="D909">
        <v>2</v>
      </c>
      <c r="E909">
        <v>40.46</v>
      </c>
      <c r="F909" t="str">
        <f t="shared" si="28"/>
        <v>2024-05</v>
      </c>
      <c r="G909">
        <f t="shared" si="29"/>
        <v>80.92</v>
      </c>
      <c r="H909" s="2">
        <v>45431.857630524908</v>
      </c>
      <c r="I909" t="s">
        <v>33</v>
      </c>
      <c r="J909" t="s">
        <v>1861</v>
      </c>
    </row>
    <row r="910" spans="1:10" x14ac:dyDescent="0.3">
      <c r="A910" t="s">
        <v>1862</v>
      </c>
      <c r="B910" t="s">
        <v>19</v>
      </c>
      <c r="C910" t="s">
        <v>28</v>
      </c>
      <c r="D910">
        <v>5</v>
      </c>
      <c r="E910">
        <v>36.29</v>
      </c>
      <c r="F910" t="str">
        <f t="shared" si="28"/>
        <v>2025-02</v>
      </c>
      <c r="G910">
        <f t="shared" si="29"/>
        <v>181.45</v>
      </c>
      <c r="H910" s="2">
        <v>45705.857630524908</v>
      </c>
      <c r="I910" t="s">
        <v>32</v>
      </c>
      <c r="J910" t="s">
        <v>1863</v>
      </c>
    </row>
    <row r="911" spans="1:10" x14ac:dyDescent="0.3">
      <c r="A911" t="s">
        <v>1864</v>
      </c>
      <c r="B911" t="s">
        <v>27</v>
      </c>
      <c r="C911" t="s">
        <v>28</v>
      </c>
      <c r="D911">
        <v>4</v>
      </c>
      <c r="E911">
        <v>33.43</v>
      </c>
      <c r="F911" t="str">
        <f t="shared" si="28"/>
        <v>2024-12</v>
      </c>
      <c r="G911">
        <f t="shared" si="29"/>
        <v>133.72</v>
      </c>
      <c r="H911" s="2">
        <v>45653.857630524908</v>
      </c>
      <c r="I911" t="s">
        <v>33</v>
      </c>
      <c r="J911" t="s">
        <v>1865</v>
      </c>
    </row>
    <row r="912" spans="1:10" x14ac:dyDescent="0.3">
      <c r="A912" t="s">
        <v>1866</v>
      </c>
      <c r="B912" t="s">
        <v>21</v>
      </c>
      <c r="C912" t="s">
        <v>30</v>
      </c>
      <c r="D912">
        <v>1</v>
      </c>
      <c r="E912">
        <v>59.3</v>
      </c>
      <c r="F912" t="str">
        <f t="shared" si="28"/>
        <v>2024-12</v>
      </c>
      <c r="G912">
        <f t="shared" si="29"/>
        <v>59.3</v>
      </c>
      <c r="H912" s="2">
        <v>45652.857630524908</v>
      </c>
      <c r="I912" t="s">
        <v>34</v>
      </c>
      <c r="J912" t="s">
        <v>1867</v>
      </c>
    </row>
    <row r="913" spans="1:10" x14ac:dyDescent="0.3">
      <c r="A913" t="s">
        <v>1868</v>
      </c>
      <c r="B913" t="s">
        <v>16</v>
      </c>
      <c r="C913" t="s">
        <v>29</v>
      </c>
      <c r="D913">
        <v>5</v>
      </c>
      <c r="E913">
        <v>34.619999999999997</v>
      </c>
      <c r="F913" t="str">
        <f t="shared" si="28"/>
        <v>2024-11</v>
      </c>
      <c r="G913">
        <f t="shared" si="29"/>
        <v>173.1</v>
      </c>
      <c r="H913" s="2">
        <v>45597.857630524908</v>
      </c>
      <c r="I913" t="s">
        <v>32</v>
      </c>
      <c r="J913" t="s">
        <v>1869</v>
      </c>
    </row>
    <row r="914" spans="1:10" x14ac:dyDescent="0.3">
      <c r="A914" t="s">
        <v>1870</v>
      </c>
      <c r="B914" t="s">
        <v>21</v>
      </c>
      <c r="C914" t="s">
        <v>30</v>
      </c>
      <c r="D914">
        <v>5</v>
      </c>
      <c r="E914">
        <v>52.69</v>
      </c>
      <c r="F914" t="str">
        <f t="shared" si="28"/>
        <v>2025-02</v>
      </c>
      <c r="G914">
        <f t="shared" si="29"/>
        <v>263.45</v>
      </c>
      <c r="H914" s="2">
        <v>45709.857630524908</v>
      </c>
      <c r="I914" t="s">
        <v>32</v>
      </c>
      <c r="J914" t="s">
        <v>1871</v>
      </c>
    </row>
    <row r="915" spans="1:10" x14ac:dyDescent="0.3">
      <c r="A915" t="s">
        <v>1872</v>
      </c>
      <c r="B915" t="s">
        <v>25</v>
      </c>
      <c r="C915" t="s">
        <v>30</v>
      </c>
      <c r="D915">
        <v>3</v>
      </c>
      <c r="E915">
        <v>48.86</v>
      </c>
      <c r="F915" t="str">
        <f t="shared" si="28"/>
        <v>2024-11</v>
      </c>
      <c r="G915">
        <f t="shared" si="29"/>
        <v>146.57999999999998</v>
      </c>
      <c r="H915" s="2">
        <v>45625.857630524908</v>
      </c>
      <c r="I915" t="s">
        <v>31</v>
      </c>
      <c r="J915" t="s">
        <v>1873</v>
      </c>
    </row>
    <row r="916" spans="1:10" x14ac:dyDescent="0.3">
      <c r="A916" t="s">
        <v>1874</v>
      </c>
      <c r="B916" t="s">
        <v>22</v>
      </c>
      <c r="C916" t="s">
        <v>30</v>
      </c>
      <c r="D916">
        <v>4</v>
      </c>
      <c r="E916">
        <v>51.77</v>
      </c>
      <c r="F916" t="str">
        <f t="shared" si="28"/>
        <v>2024-05</v>
      </c>
      <c r="G916">
        <f t="shared" si="29"/>
        <v>207.08</v>
      </c>
      <c r="H916" s="2">
        <v>45425.857630524908</v>
      </c>
      <c r="I916" t="s">
        <v>31</v>
      </c>
      <c r="J916" t="s">
        <v>1875</v>
      </c>
    </row>
    <row r="917" spans="1:10" x14ac:dyDescent="0.3">
      <c r="A917" t="s">
        <v>1876</v>
      </c>
      <c r="B917" t="s">
        <v>19</v>
      </c>
      <c r="C917" t="s">
        <v>28</v>
      </c>
      <c r="D917">
        <v>5</v>
      </c>
      <c r="E917">
        <v>38.869999999999997</v>
      </c>
      <c r="F917" t="str">
        <f t="shared" si="28"/>
        <v>2024-12</v>
      </c>
      <c r="G917">
        <f t="shared" si="29"/>
        <v>194.35</v>
      </c>
      <c r="H917" s="2">
        <v>45650.857630524908</v>
      </c>
      <c r="I917" t="s">
        <v>32</v>
      </c>
      <c r="J917" t="s">
        <v>1877</v>
      </c>
    </row>
    <row r="918" spans="1:10" x14ac:dyDescent="0.3">
      <c r="A918" t="s">
        <v>1878</v>
      </c>
      <c r="B918" t="s">
        <v>17</v>
      </c>
      <c r="C918" t="s">
        <v>29</v>
      </c>
      <c r="D918">
        <v>5</v>
      </c>
      <c r="E918">
        <v>12.43</v>
      </c>
      <c r="F918" t="str">
        <f t="shared" si="28"/>
        <v>2024-12</v>
      </c>
      <c r="G918">
        <f t="shared" si="29"/>
        <v>62.15</v>
      </c>
      <c r="H918" s="2">
        <v>45631.857630524908</v>
      </c>
      <c r="I918" t="s">
        <v>33</v>
      </c>
      <c r="J918" t="s">
        <v>1879</v>
      </c>
    </row>
    <row r="919" spans="1:10" x14ac:dyDescent="0.3">
      <c r="A919" t="s">
        <v>1880</v>
      </c>
      <c r="B919" t="s">
        <v>17</v>
      </c>
      <c r="C919" t="s">
        <v>29</v>
      </c>
      <c r="D919">
        <v>5</v>
      </c>
      <c r="E919">
        <v>53.02</v>
      </c>
      <c r="F919" t="str">
        <f t="shared" si="28"/>
        <v>2025-01</v>
      </c>
      <c r="G919">
        <f t="shared" si="29"/>
        <v>265.10000000000002</v>
      </c>
      <c r="H919" s="2">
        <v>45688.857630524908</v>
      </c>
      <c r="I919" t="s">
        <v>32</v>
      </c>
      <c r="J919" t="s">
        <v>1881</v>
      </c>
    </row>
    <row r="920" spans="1:10" x14ac:dyDescent="0.3">
      <c r="A920" t="s">
        <v>1882</v>
      </c>
      <c r="B920" t="s">
        <v>22</v>
      </c>
      <c r="C920" t="s">
        <v>30</v>
      </c>
      <c r="D920">
        <v>5</v>
      </c>
      <c r="E920">
        <v>45.36</v>
      </c>
      <c r="F920" t="str">
        <f t="shared" si="28"/>
        <v>2025-01</v>
      </c>
      <c r="G920">
        <f t="shared" si="29"/>
        <v>226.8</v>
      </c>
      <c r="H920" s="2">
        <v>45670.857630524908</v>
      </c>
      <c r="I920" t="s">
        <v>33</v>
      </c>
      <c r="J920" t="s">
        <v>1883</v>
      </c>
    </row>
    <row r="921" spans="1:10" x14ac:dyDescent="0.3">
      <c r="A921" t="s">
        <v>1884</v>
      </c>
      <c r="B921" t="s">
        <v>27</v>
      </c>
      <c r="C921" t="s">
        <v>28</v>
      </c>
      <c r="D921">
        <v>1</v>
      </c>
      <c r="E921">
        <v>46.92</v>
      </c>
      <c r="F921" t="str">
        <f t="shared" si="28"/>
        <v>2024-07</v>
      </c>
      <c r="G921">
        <f t="shared" si="29"/>
        <v>46.92</v>
      </c>
      <c r="H921" s="2">
        <v>45497.857630524908</v>
      </c>
      <c r="I921" t="s">
        <v>32</v>
      </c>
      <c r="J921" t="s">
        <v>1885</v>
      </c>
    </row>
    <row r="922" spans="1:10" x14ac:dyDescent="0.3">
      <c r="A922" t="s">
        <v>1886</v>
      </c>
      <c r="B922" t="s">
        <v>23</v>
      </c>
      <c r="C922" t="s">
        <v>28</v>
      </c>
      <c r="D922">
        <v>2</v>
      </c>
      <c r="E922">
        <v>35.96</v>
      </c>
      <c r="F922" t="str">
        <f t="shared" si="28"/>
        <v>2024-06</v>
      </c>
      <c r="G922">
        <f t="shared" si="29"/>
        <v>71.92</v>
      </c>
      <c r="H922" s="2">
        <v>45450.857630524908</v>
      </c>
      <c r="I922" t="s">
        <v>33</v>
      </c>
      <c r="J922" t="s">
        <v>1887</v>
      </c>
    </row>
    <row r="923" spans="1:10" x14ac:dyDescent="0.3">
      <c r="A923" t="s">
        <v>1888</v>
      </c>
      <c r="B923" t="s">
        <v>24</v>
      </c>
      <c r="C923" t="s">
        <v>28</v>
      </c>
      <c r="D923">
        <v>5</v>
      </c>
      <c r="E923">
        <v>59.55</v>
      </c>
      <c r="F923" t="str">
        <f t="shared" si="28"/>
        <v>2024-09</v>
      </c>
      <c r="G923">
        <f t="shared" si="29"/>
        <v>297.75</v>
      </c>
      <c r="H923" s="2">
        <v>45539.857630524908</v>
      </c>
      <c r="I923" t="s">
        <v>33</v>
      </c>
      <c r="J923" t="s">
        <v>1889</v>
      </c>
    </row>
    <row r="924" spans="1:10" x14ac:dyDescent="0.3">
      <c r="A924" t="s">
        <v>1890</v>
      </c>
      <c r="B924" t="s">
        <v>20</v>
      </c>
      <c r="C924" t="s">
        <v>30</v>
      </c>
      <c r="D924">
        <v>2</v>
      </c>
      <c r="E924">
        <v>35.090000000000003</v>
      </c>
      <c r="F924" t="str">
        <f t="shared" si="28"/>
        <v>2025-03</v>
      </c>
      <c r="G924">
        <f t="shared" si="29"/>
        <v>70.180000000000007</v>
      </c>
      <c r="H924" s="2">
        <v>45744.857630524908</v>
      </c>
      <c r="I924" t="s">
        <v>34</v>
      </c>
      <c r="J924" t="s">
        <v>1891</v>
      </c>
    </row>
    <row r="925" spans="1:10" x14ac:dyDescent="0.3">
      <c r="A925" t="s">
        <v>1892</v>
      </c>
      <c r="B925" t="s">
        <v>16</v>
      </c>
      <c r="C925" t="s">
        <v>29</v>
      </c>
      <c r="D925">
        <v>5</v>
      </c>
      <c r="E925">
        <v>19.63</v>
      </c>
      <c r="F925" t="str">
        <f t="shared" si="28"/>
        <v>2024-06</v>
      </c>
      <c r="G925">
        <f t="shared" si="29"/>
        <v>98.149999999999991</v>
      </c>
      <c r="H925" s="2">
        <v>45458.857630524908</v>
      </c>
      <c r="I925" t="s">
        <v>31</v>
      </c>
      <c r="J925" t="s">
        <v>1893</v>
      </c>
    </row>
    <row r="926" spans="1:10" x14ac:dyDescent="0.3">
      <c r="A926" t="s">
        <v>1894</v>
      </c>
      <c r="B926" t="s">
        <v>25</v>
      </c>
      <c r="C926" t="s">
        <v>30</v>
      </c>
      <c r="D926">
        <v>5</v>
      </c>
      <c r="E926">
        <v>17.649999999999999</v>
      </c>
      <c r="F926" t="str">
        <f t="shared" si="28"/>
        <v>2024-09</v>
      </c>
      <c r="G926">
        <f t="shared" si="29"/>
        <v>88.25</v>
      </c>
      <c r="H926" s="2">
        <v>45564.857630524908</v>
      </c>
      <c r="I926" t="s">
        <v>31</v>
      </c>
      <c r="J926" t="s">
        <v>1895</v>
      </c>
    </row>
    <row r="927" spans="1:10" x14ac:dyDescent="0.3">
      <c r="A927" t="s">
        <v>1896</v>
      </c>
      <c r="B927" t="s">
        <v>27</v>
      </c>
      <c r="C927" t="s">
        <v>28</v>
      </c>
      <c r="D927">
        <v>1</v>
      </c>
      <c r="E927">
        <v>46.43</v>
      </c>
      <c r="F927" t="str">
        <f t="shared" si="28"/>
        <v>2024-10</v>
      </c>
      <c r="G927">
        <f t="shared" si="29"/>
        <v>46.43</v>
      </c>
      <c r="H927" s="2">
        <v>45592.857630524908</v>
      </c>
      <c r="I927" t="s">
        <v>35</v>
      </c>
      <c r="J927" t="s">
        <v>1897</v>
      </c>
    </row>
    <row r="928" spans="1:10" x14ac:dyDescent="0.3">
      <c r="A928" t="s">
        <v>1898</v>
      </c>
      <c r="B928" t="s">
        <v>16</v>
      </c>
      <c r="C928" t="s">
        <v>29</v>
      </c>
      <c r="D928">
        <v>4</v>
      </c>
      <c r="E928">
        <v>36.869999999999997</v>
      </c>
      <c r="F928" t="str">
        <f t="shared" si="28"/>
        <v>2024-06</v>
      </c>
      <c r="G928">
        <f t="shared" si="29"/>
        <v>147.47999999999999</v>
      </c>
      <c r="H928" s="2">
        <v>45456.857630524908</v>
      </c>
      <c r="I928" t="s">
        <v>32</v>
      </c>
      <c r="J928" t="s">
        <v>1899</v>
      </c>
    </row>
    <row r="929" spans="1:10" x14ac:dyDescent="0.3">
      <c r="A929" t="s">
        <v>1900</v>
      </c>
      <c r="B929" t="s">
        <v>17</v>
      </c>
      <c r="C929" t="s">
        <v>29</v>
      </c>
      <c r="D929">
        <v>1</v>
      </c>
      <c r="E929">
        <v>46.1</v>
      </c>
      <c r="F929" t="str">
        <f t="shared" si="28"/>
        <v>2024-10</v>
      </c>
      <c r="G929">
        <f t="shared" si="29"/>
        <v>46.1</v>
      </c>
      <c r="H929" s="2">
        <v>45596.857630524908</v>
      </c>
      <c r="I929" t="s">
        <v>31</v>
      </c>
      <c r="J929" t="s">
        <v>1901</v>
      </c>
    </row>
    <row r="930" spans="1:10" x14ac:dyDescent="0.3">
      <c r="A930" t="s">
        <v>1902</v>
      </c>
      <c r="B930" t="s">
        <v>16</v>
      </c>
      <c r="C930" t="s">
        <v>29</v>
      </c>
      <c r="D930">
        <v>4</v>
      </c>
      <c r="E930">
        <v>50.09</v>
      </c>
      <c r="F930" t="str">
        <f t="shared" si="28"/>
        <v>2024-12</v>
      </c>
      <c r="G930">
        <f t="shared" si="29"/>
        <v>200.36</v>
      </c>
      <c r="H930" s="2">
        <v>45629.857630524908</v>
      </c>
      <c r="I930" t="s">
        <v>31</v>
      </c>
      <c r="J930" t="s">
        <v>1903</v>
      </c>
    </row>
    <row r="931" spans="1:10" x14ac:dyDescent="0.3">
      <c r="A931" t="s">
        <v>1904</v>
      </c>
      <c r="B931" t="s">
        <v>17</v>
      </c>
      <c r="C931" t="s">
        <v>29</v>
      </c>
      <c r="D931">
        <v>5</v>
      </c>
      <c r="E931">
        <v>59.87</v>
      </c>
      <c r="F931" t="str">
        <f t="shared" si="28"/>
        <v>2024-11</v>
      </c>
      <c r="G931">
        <f t="shared" si="29"/>
        <v>299.34999999999997</v>
      </c>
      <c r="H931" s="2">
        <v>45614.857630524908</v>
      </c>
      <c r="I931" t="s">
        <v>31</v>
      </c>
      <c r="J931" t="s">
        <v>1905</v>
      </c>
    </row>
    <row r="932" spans="1:10" x14ac:dyDescent="0.3">
      <c r="A932" t="s">
        <v>1906</v>
      </c>
      <c r="B932" t="s">
        <v>16</v>
      </c>
      <c r="C932" t="s">
        <v>29</v>
      </c>
      <c r="D932">
        <v>2</v>
      </c>
      <c r="E932">
        <v>26.4</v>
      </c>
      <c r="F932" t="str">
        <f t="shared" si="28"/>
        <v>2024-10</v>
      </c>
      <c r="G932">
        <f t="shared" si="29"/>
        <v>52.8</v>
      </c>
      <c r="H932" s="2">
        <v>45566.857630524908</v>
      </c>
      <c r="I932" t="s">
        <v>33</v>
      </c>
      <c r="J932" t="s">
        <v>1907</v>
      </c>
    </row>
    <row r="933" spans="1:10" x14ac:dyDescent="0.3">
      <c r="A933" t="s">
        <v>1908</v>
      </c>
      <c r="B933" t="s">
        <v>16</v>
      </c>
      <c r="C933" t="s">
        <v>29</v>
      </c>
      <c r="D933">
        <v>4</v>
      </c>
      <c r="E933">
        <v>43.3</v>
      </c>
      <c r="F933" t="str">
        <f t="shared" si="28"/>
        <v>2024-11</v>
      </c>
      <c r="G933">
        <f t="shared" si="29"/>
        <v>173.2</v>
      </c>
      <c r="H933" s="2">
        <v>45622.857630524908</v>
      </c>
      <c r="I933" t="s">
        <v>33</v>
      </c>
      <c r="J933" t="s">
        <v>1909</v>
      </c>
    </row>
    <row r="934" spans="1:10" x14ac:dyDescent="0.3">
      <c r="A934" t="s">
        <v>1910</v>
      </c>
      <c r="B934" t="s">
        <v>17</v>
      </c>
      <c r="C934" t="s">
        <v>29</v>
      </c>
      <c r="D934">
        <v>2</v>
      </c>
      <c r="E934">
        <v>39.28</v>
      </c>
      <c r="F934" t="str">
        <f t="shared" si="28"/>
        <v>2025-02</v>
      </c>
      <c r="G934">
        <f t="shared" si="29"/>
        <v>78.56</v>
      </c>
      <c r="H934" s="2">
        <v>45715.857630524908</v>
      </c>
      <c r="I934" t="s">
        <v>32</v>
      </c>
      <c r="J934" t="s">
        <v>1911</v>
      </c>
    </row>
    <row r="935" spans="1:10" x14ac:dyDescent="0.3">
      <c r="A935" t="s">
        <v>1912</v>
      </c>
      <c r="B935" t="s">
        <v>18</v>
      </c>
      <c r="C935" t="s">
        <v>29</v>
      </c>
      <c r="D935">
        <v>2</v>
      </c>
      <c r="E935">
        <v>16.989999999999998</v>
      </c>
      <c r="F935" t="str">
        <f t="shared" si="28"/>
        <v>2024-12</v>
      </c>
      <c r="G935">
        <f t="shared" si="29"/>
        <v>33.979999999999997</v>
      </c>
      <c r="H935" s="2">
        <v>45646.857630524908</v>
      </c>
      <c r="I935" t="s">
        <v>35</v>
      </c>
      <c r="J935" t="s">
        <v>1913</v>
      </c>
    </row>
    <row r="936" spans="1:10" x14ac:dyDescent="0.3">
      <c r="A936" t="s">
        <v>1914</v>
      </c>
      <c r="B936" t="s">
        <v>19</v>
      </c>
      <c r="C936" t="s">
        <v>28</v>
      </c>
      <c r="D936">
        <v>2</v>
      </c>
      <c r="E936">
        <v>53.51</v>
      </c>
      <c r="F936" t="str">
        <f t="shared" si="28"/>
        <v>2024-12</v>
      </c>
      <c r="G936">
        <f t="shared" si="29"/>
        <v>107.02</v>
      </c>
      <c r="H936" s="2">
        <v>45653.857630524908</v>
      </c>
      <c r="I936" t="s">
        <v>35</v>
      </c>
      <c r="J936" t="s">
        <v>1915</v>
      </c>
    </row>
    <row r="937" spans="1:10" x14ac:dyDescent="0.3">
      <c r="A937" t="s">
        <v>1916</v>
      </c>
      <c r="B937" t="s">
        <v>19</v>
      </c>
      <c r="C937" t="s">
        <v>28</v>
      </c>
      <c r="D937">
        <v>1</v>
      </c>
      <c r="E937">
        <v>16.64</v>
      </c>
      <c r="F937" t="str">
        <f t="shared" si="28"/>
        <v>2024-05</v>
      </c>
      <c r="G937">
        <f t="shared" si="29"/>
        <v>16.64</v>
      </c>
      <c r="H937" s="2">
        <v>45424.857630524908</v>
      </c>
      <c r="I937" t="s">
        <v>33</v>
      </c>
      <c r="J937" t="s">
        <v>1917</v>
      </c>
    </row>
    <row r="938" spans="1:10" x14ac:dyDescent="0.3">
      <c r="A938" t="s">
        <v>1918</v>
      </c>
      <c r="B938" t="s">
        <v>27</v>
      </c>
      <c r="C938" t="s">
        <v>28</v>
      </c>
      <c r="D938">
        <v>2</v>
      </c>
      <c r="E938">
        <v>31.18</v>
      </c>
      <c r="F938" t="str">
        <f t="shared" si="28"/>
        <v>2024-11</v>
      </c>
      <c r="G938">
        <f t="shared" si="29"/>
        <v>62.36</v>
      </c>
      <c r="H938" s="2">
        <v>45618.857630524908</v>
      </c>
      <c r="I938" t="s">
        <v>32</v>
      </c>
      <c r="J938" t="s">
        <v>1919</v>
      </c>
    </row>
    <row r="939" spans="1:10" x14ac:dyDescent="0.3">
      <c r="A939" t="s">
        <v>1920</v>
      </c>
      <c r="B939" t="s">
        <v>16</v>
      </c>
      <c r="C939" t="s">
        <v>29</v>
      </c>
      <c r="D939">
        <v>5</v>
      </c>
      <c r="E939">
        <v>46.97</v>
      </c>
      <c r="F939" t="str">
        <f t="shared" si="28"/>
        <v>2024-06</v>
      </c>
      <c r="G939">
        <f t="shared" si="29"/>
        <v>234.85</v>
      </c>
      <c r="H939" s="2">
        <v>45470.857630524908</v>
      </c>
      <c r="I939" t="s">
        <v>34</v>
      </c>
      <c r="J939" t="s">
        <v>1921</v>
      </c>
    </row>
    <row r="940" spans="1:10" x14ac:dyDescent="0.3">
      <c r="A940" t="s">
        <v>1922</v>
      </c>
      <c r="B940" t="s">
        <v>19</v>
      </c>
      <c r="C940" t="s">
        <v>28</v>
      </c>
      <c r="D940">
        <v>1</v>
      </c>
      <c r="E940">
        <v>27.56</v>
      </c>
      <c r="F940" t="str">
        <f t="shared" si="28"/>
        <v>2024-05</v>
      </c>
      <c r="G940">
        <f t="shared" si="29"/>
        <v>27.56</v>
      </c>
      <c r="H940" s="2">
        <v>45428.857630524908</v>
      </c>
      <c r="I940" t="s">
        <v>35</v>
      </c>
      <c r="J940" t="s">
        <v>1923</v>
      </c>
    </row>
    <row r="941" spans="1:10" x14ac:dyDescent="0.3">
      <c r="A941" t="s">
        <v>1924</v>
      </c>
      <c r="B941" t="s">
        <v>24</v>
      </c>
      <c r="C941" t="s">
        <v>28</v>
      </c>
      <c r="D941">
        <v>3</v>
      </c>
      <c r="E941">
        <v>34.200000000000003</v>
      </c>
      <c r="F941" t="str">
        <f t="shared" si="28"/>
        <v>2025-02</v>
      </c>
      <c r="G941">
        <f t="shared" si="29"/>
        <v>102.60000000000001</v>
      </c>
      <c r="H941" s="2">
        <v>45707.857630524908</v>
      </c>
      <c r="I941" t="s">
        <v>32</v>
      </c>
      <c r="J941" t="s">
        <v>1925</v>
      </c>
    </row>
    <row r="942" spans="1:10" x14ac:dyDescent="0.3">
      <c r="A942" t="s">
        <v>1926</v>
      </c>
      <c r="B942" t="s">
        <v>21</v>
      </c>
      <c r="C942" t="s">
        <v>30</v>
      </c>
      <c r="D942">
        <v>5</v>
      </c>
      <c r="E942">
        <v>50.55</v>
      </c>
      <c r="F942" t="str">
        <f t="shared" si="28"/>
        <v>2024-06</v>
      </c>
      <c r="G942">
        <f t="shared" si="29"/>
        <v>252.75</v>
      </c>
      <c r="H942" s="2">
        <v>45469.857630524908</v>
      </c>
      <c r="I942" t="s">
        <v>34</v>
      </c>
      <c r="J942" t="s">
        <v>1927</v>
      </c>
    </row>
    <row r="943" spans="1:10" x14ac:dyDescent="0.3">
      <c r="A943" t="s">
        <v>1928</v>
      </c>
      <c r="B943" t="s">
        <v>26</v>
      </c>
      <c r="C943" t="s">
        <v>28</v>
      </c>
      <c r="D943">
        <v>5</v>
      </c>
      <c r="E943">
        <v>52.61</v>
      </c>
      <c r="F943" t="str">
        <f t="shared" si="28"/>
        <v>2024-05</v>
      </c>
      <c r="G943">
        <f t="shared" si="29"/>
        <v>263.05</v>
      </c>
      <c r="H943" s="2">
        <v>45419.857630524908</v>
      </c>
      <c r="I943" t="s">
        <v>35</v>
      </c>
      <c r="J943" t="s">
        <v>1929</v>
      </c>
    </row>
    <row r="944" spans="1:10" x14ac:dyDescent="0.3">
      <c r="A944" t="s">
        <v>1930</v>
      </c>
      <c r="B944" t="s">
        <v>21</v>
      </c>
      <c r="C944" t="s">
        <v>30</v>
      </c>
      <c r="D944">
        <v>2</v>
      </c>
      <c r="E944">
        <v>45.65</v>
      </c>
      <c r="F944" t="str">
        <f t="shared" si="28"/>
        <v>2025-01</v>
      </c>
      <c r="G944">
        <f t="shared" si="29"/>
        <v>91.3</v>
      </c>
      <c r="H944" s="2">
        <v>45672.857630524908</v>
      </c>
      <c r="I944" t="s">
        <v>33</v>
      </c>
      <c r="J944" t="s">
        <v>1931</v>
      </c>
    </row>
    <row r="945" spans="1:10" x14ac:dyDescent="0.3">
      <c r="A945" t="s">
        <v>1932</v>
      </c>
      <c r="B945" t="s">
        <v>25</v>
      </c>
      <c r="C945" t="s">
        <v>30</v>
      </c>
      <c r="D945">
        <v>1</v>
      </c>
      <c r="E945">
        <v>48.9</v>
      </c>
      <c r="F945" t="str">
        <f t="shared" si="28"/>
        <v>2024-10</v>
      </c>
      <c r="G945">
        <f t="shared" si="29"/>
        <v>48.9</v>
      </c>
      <c r="H945" s="2">
        <v>45585.857630524908</v>
      </c>
      <c r="I945" t="s">
        <v>34</v>
      </c>
      <c r="J945" t="s">
        <v>1933</v>
      </c>
    </row>
    <row r="946" spans="1:10" x14ac:dyDescent="0.3">
      <c r="A946" t="s">
        <v>1934</v>
      </c>
      <c r="B946" t="s">
        <v>19</v>
      </c>
      <c r="C946" t="s">
        <v>28</v>
      </c>
      <c r="D946">
        <v>5</v>
      </c>
      <c r="E946">
        <v>41.7</v>
      </c>
      <c r="F946" t="str">
        <f t="shared" si="28"/>
        <v>2024-10</v>
      </c>
      <c r="G946">
        <f t="shared" si="29"/>
        <v>208.5</v>
      </c>
      <c r="H946" s="2">
        <v>45587.857630524908</v>
      </c>
      <c r="I946" t="s">
        <v>33</v>
      </c>
      <c r="J946" t="s">
        <v>1935</v>
      </c>
    </row>
    <row r="947" spans="1:10" x14ac:dyDescent="0.3">
      <c r="A947" t="s">
        <v>1936</v>
      </c>
      <c r="B947" t="s">
        <v>24</v>
      </c>
      <c r="C947" t="s">
        <v>28</v>
      </c>
      <c r="D947">
        <v>4</v>
      </c>
      <c r="E947">
        <v>53.61</v>
      </c>
      <c r="F947" t="str">
        <f t="shared" si="28"/>
        <v>2024-04</v>
      </c>
      <c r="G947">
        <f t="shared" si="29"/>
        <v>214.44</v>
      </c>
      <c r="H947" s="2">
        <v>45398.857630524908</v>
      </c>
      <c r="I947" t="s">
        <v>35</v>
      </c>
      <c r="J947" t="s">
        <v>1937</v>
      </c>
    </row>
    <row r="948" spans="1:10" x14ac:dyDescent="0.3">
      <c r="A948" t="s">
        <v>1938</v>
      </c>
      <c r="B948" t="s">
        <v>25</v>
      </c>
      <c r="C948" t="s">
        <v>30</v>
      </c>
      <c r="D948">
        <v>4</v>
      </c>
      <c r="E948">
        <v>34.450000000000003</v>
      </c>
      <c r="F948" t="str">
        <f t="shared" si="28"/>
        <v>2024-09</v>
      </c>
      <c r="G948">
        <f t="shared" si="29"/>
        <v>137.80000000000001</v>
      </c>
      <c r="H948" s="2">
        <v>45538.857630524908</v>
      </c>
      <c r="I948" t="s">
        <v>35</v>
      </c>
      <c r="J948" t="s">
        <v>1939</v>
      </c>
    </row>
    <row r="949" spans="1:10" x14ac:dyDescent="0.3">
      <c r="A949" t="s">
        <v>1940</v>
      </c>
      <c r="B949" t="s">
        <v>25</v>
      </c>
      <c r="C949" t="s">
        <v>30</v>
      </c>
      <c r="D949">
        <v>5</v>
      </c>
      <c r="E949">
        <v>26.67</v>
      </c>
      <c r="F949" t="str">
        <f t="shared" si="28"/>
        <v>2024-08</v>
      </c>
      <c r="G949">
        <f t="shared" si="29"/>
        <v>133.35000000000002</v>
      </c>
      <c r="H949" s="2">
        <v>45515.857630524908</v>
      </c>
      <c r="I949" t="s">
        <v>35</v>
      </c>
      <c r="J949" t="s">
        <v>1941</v>
      </c>
    </row>
    <row r="950" spans="1:10" x14ac:dyDescent="0.3">
      <c r="A950" t="s">
        <v>1942</v>
      </c>
      <c r="B950" t="s">
        <v>20</v>
      </c>
      <c r="C950" t="s">
        <v>30</v>
      </c>
      <c r="D950">
        <v>3</v>
      </c>
      <c r="E950">
        <v>56.65</v>
      </c>
      <c r="F950" t="str">
        <f t="shared" si="28"/>
        <v>2024-07</v>
      </c>
      <c r="G950">
        <f t="shared" si="29"/>
        <v>169.95</v>
      </c>
      <c r="H950" s="2">
        <v>45483.857630524908</v>
      </c>
      <c r="I950" t="s">
        <v>31</v>
      </c>
      <c r="J950" t="s">
        <v>1943</v>
      </c>
    </row>
    <row r="951" spans="1:10" x14ac:dyDescent="0.3">
      <c r="A951" t="s">
        <v>1944</v>
      </c>
      <c r="B951" t="s">
        <v>17</v>
      </c>
      <c r="C951" t="s">
        <v>29</v>
      </c>
      <c r="D951">
        <v>3</v>
      </c>
      <c r="E951">
        <v>38.25</v>
      </c>
      <c r="F951" t="str">
        <f t="shared" si="28"/>
        <v>2024-11</v>
      </c>
      <c r="G951">
        <f t="shared" si="29"/>
        <v>114.75</v>
      </c>
      <c r="H951" s="2">
        <v>45626.857630524908</v>
      </c>
      <c r="I951" t="s">
        <v>32</v>
      </c>
      <c r="J951" t="s">
        <v>1945</v>
      </c>
    </row>
    <row r="952" spans="1:10" x14ac:dyDescent="0.3">
      <c r="A952" t="s">
        <v>1946</v>
      </c>
      <c r="B952" t="s">
        <v>17</v>
      </c>
      <c r="C952" t="s">
        <v>29</v>
      </c>
      <c r="D952">
        <v>5</v>
      </c>
      <c r="E952">
        <v>11.42</v>
      </c>
      <c r="F952" t="str">
        <f t="shared" si="28"/>
        <v>2025-03</v>
      </c>
      <c r="G952">
        <f t="shared" si="29"/>
        <v>57.1</v>
      </c>
      <c r="H952" s="2">
        <v>45746.857630524908</v>
      </c>
      <c r="I952" t="s">
        <v>35</v>
      </c>
      <c r="J952" t="s">
        <v>1947</v>
      </c>
    </row>
    <row r="953" spans="1:10" x14ac:dyDescent="0.3">
      <c r="A953" t="s">
        <v>1948</v>
      </c>
      <c r="B953" t="s">
        <v>16</v>
      </c>
      <c r="C953" t="s">
        <v>29</v>
      </c>
      <c r="D953">
        <v>2</v>
      </c>
      <c r="E953">
        <v>12.7</v>
      </c>
      <c r="F953" t="str">
        <f t="shared" si="28"/>
        <v>2024-09</v>
      </c>
      <c r="G953">
        <f t="shared" si="29"/>
        <v>25.4</v>
      </c>
      <c r="H953" s="2">
        <v>45558.857630524908</v>
      </c>
      <c r="I953" t="s">
        <v>33</v>
      </c>
      <c r="J953" t="s">
        <v>1949</v>
      </c>
    </row>
    <row r="954" spans="1:10" x14ac:dyDescent="0.3">
      <c r="A954" t="s">
        <v>1950</v>
      </c>
      <c r="B954" t="s">
        <v>16</v>
      </c>
      <c r="C954" t="s">
        <v>29</v>
      </c>
      <c r="D954">
        <v>3</v>
      </c>
      <c r="E954">
        <v>57.17</v>
      </c>
      <c r="F954" t="str">
        <f t="shared" si="28"/>
        <v>2024-07</v>
      </c>
      <c r="G954">
        <f t="shared" si="29"/>
        <v>171.51</v>
      </c>
      <c r="H954" s="2">
        <v>45484.857630524908</v>
      </c>
      <c r="I954" t="s">
        <v>34</v>
      </c>
      <c r="J954" t="s">
        <v>1951</v>
      </c>
    </row>
    <row r="955" spans="1:10" x14ac:dyDescent="0.3">
      <c r="A955" t="s">
        <v>1952</v>
      </c>
      <c r="B955" t="s">
        <v>20</v>
      </c>
      <c r="C955" t="s">
        <v>30</v>
      </c>
      <c r="D955">
        <v>1</v>
      </c>
      <c r="E955">
        <v>17.29</v>
      </c>
      <c r="F955" t="str">
        <f t="shared" si="28"/>
        <v>2024-05</v>
      </c>
      <c r="G955">
        <f t="shared" si="29"/>
        <v>17.29</v>
      </c>
      <c r="H955" s="2">
        <v>45419.857630524908</v>
      </c>
      <c r="I955" t="s">
        <v>35</v>
      </c>
      <c r="J955" t="s">
        <v>1953</v>
      </c>
    </row>
    <row r="956" spans="1:10" x14ac:dyDescent="0.3">
      <c r="A956" t="s">
        <v>1954</v>
      </c>
      <c r="B956" t="s">
        <v>25</v>
      </c>
      <c r="C956" t="s">
        <v>30</v>
      </c>
      <c r="D956">
        <v>5</v>
      </c>
      <c r="E956">
        <v>31.05</v>
      </c>
      <c r="F956" t="str">
        <f t="shared" si="28"/>
        <v>2025-03</v>
      </c>
      <c r="G956">
        <f t="shared" si="29"/>
        <v>155.25</v>
      </c>
      <c r="H956" s="2">
        <v>45745.857630524908</v>
      </c>
      <c r="I956" t="s">
        <v>31</v>
      </c>
      <c r="J956" t="s">
        <v>1955</v>
      </c>
    </row>
    <row r="957" spans="1:10" x14ac:dyDescent="0.3">
      <c r="A957" t="s">
        <v>1956</v>
      </c>
      <c r="B957" t="s">
        <v>24</v>
      </c>
      <c r="C957" t="s">
        <v>28</v>
      </c>
      <c r="D957">
        <v>3</v>
      </c>
      <c r="E957">
        <v>42.42</v>
      </c>
      <c r="F957" t="str">
        <f t="shared" si="28"/>
        <v>2024-10</v>
      </c>
      <c r="G957">
        <f t="shared" si="29"/>
        <v>127.26</v>
      </c>
      <c r="H957" s="2">
        <v>45574.857630524908</v>
      </c>
      <c r="I957" t="s">
        <v>31</v>
      </c>
      <c r="J957" t="s">
        <v>1957</v>
      </c>
    </row>
    <row r="958" spans="1:10" x14ac:dyDescent="0.3">
      <c r="A958" t="s">
        <v>1958</v>
      </c>
      <c r="B958" t="s">
        <v>17</v>
      </c>
      <c r="C958" t="s">
        <v>29</v>
      </c>
      <c r="D958">
        <v>3</v>
      </c>
      <c r="E958">
        <v>32.06</v>
      </c>
      <c r="F958" t="str">
        <f t="shared" si="28"/>
        <v>2024-10</v>
      </c>
      <c r="G958">
        <f t="shared" si="29"/>
        <v>96.18</v>
      </c>
      <c r="H958" s="2">
        <v>45577.857630524908</v>
      </c>
      <c r="I958" t="s">
        <v>34</v>
      </c>
      <c r="J958" t="s">
        <v>1959</v>
      </c>
    </row>
    <row r="959" spans="1:10" x14ac:dyDescent="0.3">
      <c r="A959" t="s">
        <v>1960</v>
      </c>
      <c r="B959" t="s">
        <v>18</v>
      </c>
      <c r="C959" t="s">
        <v>29</v>
      </c>
      <c r="D959">
        <v>4</v>
      </c>
      <c r="E959">
        <v>43.88</v>
      </c>
      <c r="F959" t="str">
        <f t="shared" si="28"/>
        <v>2024-08</v>
      </c>
      <c r="G959">
        <f t="shared" si="29"/>
        <v>175.52</v>
      </c>
      <c r="H959" s="2">
        <v>45515.857630524908</v>
      </c>
      <c r="I959" t="s">
        <v>33</v>
      </c>
      <c r="J959" t="s">
        <v>1961</v>
      </c>
    </row>
    <row r="960" spans="1:10" x14ac:dyDescent="0.3">
      <c r="A960" t="s">
        <v>1962</v>
      </c>
      <c r="B960" t="s">
        <v>22</v>
      </c>
      <c r="C960" t="s">
        <v>30</v>
      </c>
      <c r="D960">
        <v>3</v>
      </c>
      <c r="E960">
        <v>29.22</v>
      </c>
      <c r="F960" t="str">
        <f t="shared" si="28"/>
        <v>2024-10</v>
      </c>
      <c r="G960">
        <f t="shared" si="29"/>
        <v>87.66</v>
      </c>
      <c r="H960" s="2">
        <v>45579.857630524908</v>
      </c>
      <c r="I960" t="s">
        <v>33</v>
      </c>
      <c r="J960" t="s">
        <v>1963</v>
      </c>
    </row>
    <row r="961" spans="1:10" x14ac:dyDescent="0.3">
      <c r="A961" t="s">
        <v>1964</v>
      </c>
      <c r="B961" t="s">
        <v>22</v>
      </c>
      <c r="C961" t="s">
        <v>30</v>
      </c>
      <c r="D961">
        <v>4</v>
      </c>
      <c r="E961">
        <v>38.99</v>
      </c>
      <c r="F961" t="str">
        <f t="shared" si="28"/>
        <v>2024-06</v>
      </c>
      <c r="G961">
        <f t="shared" si="29"/>
        <v>155.96</v>
      </c>
      <c r="H961" s="2">
        <v>45448.857630524908</v>
      </c>
      <c r="I961" t="s">
        <v>34</v>
      </c>
      <c r="J961" t="s">
        <v>1965</v>
      </c>
    </row>
    <row r="962" spans="1:10" x14ac:dyDescent="0.3">
      <c r="A962" t="s">
        <v>1966</v>
      </c>
      <c r="B962" t="s">
        <v>23</v>
      </c>
      <c r="C962" t="s">
        <v>28</v>
      </c>
      <c r="D962">
        <v>4</v>
      </c>
      <c r="E962">
        <v>33.85</v>
      </c>
      <c r="F962" t="str">
        <f t="shared" si="28"/>
        <v>2024-05</v>
      </c>
      <c r="G962">
        <f t="shared" si="29"/>
        <v>135.4</v>
      </c>
      <c r="H962" s="2">
        <v>45422.857630524908</v>
      </c>
      <c r="I962" t="s">
        <v>35</v>
      </c>
      <c r="J962" t="s">
        <v>1967</v>
      </c>
    </row>
    <row r="963" spans="1:10" x14ac:dyDescent="0.3">
      <c r="A963" t="s">
        <v>1968</v>
      </c>
      <c r="B963" t="s">
        <v>23</v>
      </c>
      <c r="C963" t="s">
        <v>28</v>
      </c>
      <c r="D963">
        <v>3</v>
      </c>
      <c r="E963">
        <v>20.23</v>
      </c>
      <c r="F963" t="str">
        <f t="shared" ref="F963:F1026" si="30">TEXT(H963, "yyyy-mm")</f>
        <v>2024-06</v>
      </c>
      <c r="G963">
        <f t="shared" ref="G963:G1026" si="31">D963*E963</f>
        <v>60.69</v>
      </c>
      <c r="H963" s="2">
        <v>45449.857630524908</v>
      </c>
      <c r="I963" t="s">
        <v>33</v>
      </c>
      <c r="J963" t="s">
        <v>1969</v>
      </c>
    </row>
    <row r="964" spans="1:10" x14ac:dyDescent="0.3">
      <c r="A964" t="s">
        <v>1970</v>
      </c>
      <c r="B964" t="s">
        <v>18</v>
      </c>
      <c r="C964" t="s">
        <v>29</v>
      </c>
      <c r="D964">
        <v>1</v>
      </c>
      <c r="E964">
        <v>35.71</v>
      </c>
      <c r="F964" t="str">
        <f t="shared" si="30"/>
        <v>2024-12</v>
      </c>
      <c r="G964">
        <f t="shared" si="31"/>
        <v>35.71</v>
      </c>
      <c r="H964" s="2">
        <v>45628.857630524908</v>
      </c>
      <c r="I964" t="s">
        <v>35</v>
      </c>
      <c r="J964" t="s">
        <v>1971</v>
      </c>
    </row>
    <row r="965" spans="1:10" x14ac:dyDescent="0.3">
      <c r="A965" t="s">
        <v>1972</v>
      </c>
      <c r="B965" t="s">
        <v>21</v>
      </c>
      <c r="C965" t="s">
        <v>30</v>
      </c>
      <c r="D965">
        <v>2</v>
      </c>
      <c r="E965">
        <v>14.63</v>
      </c>
      <c r="F965" t="str">
        <f t="shared" si="30"/>
        <v>2024-11</v>
      </c>
      <c r="G965">
        <f t="shared" si="31"/>
        <v>29.26</v>
      </c>
      <c r="H965" s="2">
        <v>45624.857630524908</v>
      </c>
      <c r="I965" t="s">
        <v>31</v>
      </c>
      <c r="J965" t="s">
        <v>1973</v>
      </c>
    </row>
    <row r="966" spans="1:10" x14ac:dyDescent="0.3">
      <c r="A966" t="s">
        <v>1974</v>
      </c>
      <c r="B966" t="s">
        <v>18</v>
      </c>
      <c r="C966" t="s">
        <v>29</v>
      </c>
      <c r="D966">
        <v>1</v>
      </c>
      <c r="E966">
        <v>24.57</v>
      </c>
      <c r="F966" t="str">
        <f t="shared" si="30"/>
        <v>2024-10</v>
      </c>
      <c r="G966">
        <f t="shared" si="31"/>
        <v>24.57</v>
      </c>
      <c r="H966" s="2">
        <v>45580.857630524908</v>
      </c>
      <c r="I966" t="s">
        <v>33</v>
      </c>
      <c r="J966" t="s">
        <v>1975</v>
      </c>
    </row>
    <row r="967" spans="1:10" x14ac:dyDescent="0.3">
      <c r="A967" t="s">
        <v>1976</v>
      </c>
      <c r="B967" t="s">
        <v>17</v>
      </c>
      <c r="C967" t="s">
        <v>29</v>
      </c>
      <c r="D967">
        <v>4</v>
      </c>
      <c r="E967">
        <v>32.75</v>
      </c>
      <c r="F967" t="str">
        <f t="shared" si="30"/>
        <v>2024-08</v>
      </c>
      <c r="G967">
        <f t="shared" si="31"/>
        <v>131</v>
      </c>
      <c r="H967" s="2">
        <v>45514.857630524908</v>
      </c>
      <c r="I967" t="s">
        <v>33</v>
      </c>
      <c r="J967" t="s">
        <v>1977</v>
      </c>
    </row>
    <row r="968" spans="1:10" x14ac:dyDescent="0.3">
      <c r="A968" t="s">
        <v>1978</v>
      </c>
      <c r="B968" t="s">
        <v>19</v>
      </c>
      <c r="C968" t="s">
        <v>28</v>
      </c>
      <c r="D968">
        <v>1</v>
      </c>
      <c r="E968">
        <v>10.68</v>
      </c>
      <c r="F968" t="str">
        <f t="shared" si="30"/>
        <v>2024-07</v>
      </c>
      <c r="G968">
        <f t="shared" si="31"/>
        <v>10.68</v>
      </c>
      <c r="H968" s="2">
        <v>45488.857630524908</v>
      </c>
      <c r="I968" t="s">
        <v>35</v>
      </c>
      <c r="J968" t="s">
        <v>1979</v>
      </c>
    </row>
    <row r="969" spans="1:10" x14ac:dyDescent="0.3">
      <c r="A969" t="s">
        <v>1980</v>
      </c>
      <c r="B969" t="s">
        <v>18</v>
      </c>
      <c r="C969" t="s">
        <v>29</v>
      </c>
      <c r="D969">
        <v>4</v>
      </c>
      <c r="E969">
        <v>23.84</v>
      </c>
      <c r="F969" t="str">
        <f t="shared" si="30"/>
        <v>2025-04</v>
      </c>
      <c r="G969">
        <f t="shared" si="31"/>
        <v>95.36</v>
      </c>
      <c r="H969" s="2">
        <v>45750.857630524908</v>
      </c>
      <c r="I969" t="s">
        <v>33</v>
      </c>
      <c r="J969" t="s">
        <v>1981</v>
      </c>
    </row>
    <row r="970" spans="1:10" x14ac:dyDescent="0.3">
      <c r="A970" t="s">
        <v>1982</v>
      </c>
      <c r="B970" t="s">
        <v>18</v>
      </c>
      <c r="C970" t="s">
        <v>29</v>
      </c>
      <c r="D970">
        <v>1</v>
      </c>
      <c r="E970">
        <v>53.4</v>
      </c>
      <c r="F970" t="str">
        <f t="shared" si="30"/>
        <v>2024-12</v>
      </c>
      <c r="G970">
        <f t="shared" si="31"/>
        <v>53.4</v>
      </c>
      <c r="H970" s="2">
        <v>45630.857630524908</v>
      </c>
      <c r="I970" t="s">
        <v>34</v>
      </c>
      <c r="J970" t="s">
        <v>1983</v>
      </c>
    </row>
    <row r="971" spans="1:10" x14ac:dyDescent="0.3">
      <c r="A971" t="s">
        <v>1984</v>
      </c>
      <c r="B971" t="s">
        <v>20</v>
      </c>
      <c r="C971" t="s">
        <v>30</v>
      </c>
      <c r="D971">
        <v>2</v>
      </c>
      <c r="E971">
        <v>16.53</v>
      </c>
      <c r="F971" t="str">
        <f t="shared" si="30"/>
        <v>2024-07</v>
      </c>
      <c r="G971">
        <f t="shared" si="31"/>
        <v>33.06</v>
      </c>
      <c r="H971" s="2">
        <v>45491.857630524908</v>
      </c>
      <c r="I971" t="s">
        <v>35</v>
      </c>
      <c r="J971" t="s">
        <v>1985</v>
      </c>
    </row>
    <row r="972" spans="1:10" x14ac:dyDescent="0.3">
      <c r="A972" t="s">
        <v>1986</v>
      </c>
      <c r="B972" t="s">
        <v>20</v>
      </c>
      <c r="C972" t="s">
        <v>30</v>
      </c>
      <c r="D972">
        <v>1</v>
      </c>
      <c r="E972">
        <v>40.18</v>
      </c>
      <c r="F972" t="str">
        <f t="shared" si="30"/>
        <v>2024-05</v>
      </c>
      <c r="G972">
        <f t="shared" si="31"/>
        <v>40.18</v>
      </c>
      <c r="H972" s="2">
        <v>45438.857630524908</v>
      </c>
      <c r="I972" t="s">
        <v>35</v>
      </c>
      <c r="J972" t="s">
        <v>1987</v>
      </c>
    </row>
    <row r="973" spans="1:10" x14ac:dyDescent="0.3">
      <c r="A973" t="s">
        <v>1988</v>
      </c>
      <c r="B973" t="s">
        <v>19</v>
      </c>
      <c r="C973" t="s">
        <v>28</v>
      </c>
      <c r="D973">
        <v>4</v>
      </c>
      <c r="E973">
        <v>19.03</v>
      </c>
      <c r="F973" t="str">
        <f t="shared" si="30"/>
        <v>2024-05</v>
      </c>
      <c r="G973">
        <f t="shared" si="31"/>
        <v>76.12</v>
      </c>
      <c r="H973" s="2">
        <v>45428.857630524908</v>
      </c>
      <c r="I973" t="s">
        <v>34</v>
      </c>
      <c r="J973" t="s">
        <v>1989</v>
      </c>
    </row>
    <row r="974" spans="1:10" x14ac:dyDescent="0.3">
      <c r="A974" t="s">
        <v>1990</v>
      </c>
      <c r="B974" t="s">
        <v>23</v>
      </c>
      <c r="C974" t="s">
        <v>28</v>
      </c>
      <c r="D974">
        <v>4</v>
      </c>
      <c r="E974">
        <v>36.4</v>
      </c>
      <c r="F974" t="str">
        <f t="shared" si="30"/>
        <v>2025-03</v>
      </c>
      <c r="G974">
        <f t="shared" si="31"/>
        <v>145.6</v>
      </c>
      <c r="H974" s="2">
        <v>45720.857630524908</v>
      </c>
      <c r="I974" t="s">
        <v>35</v>
      </c>
      <c r="J974" t="s">
        <v>1991</v>
      </c>
    </row>
    <row r="975" spans="1:10" x14ac:dyDescent="0.3">
      <c r="A975" t="s">
        <v>1992</v>
      </c>
      <c r="B975" t="s">
        <v>17</v>
      </c>
      <c r="C975" t="s">
        <v>29</v>
      </c>
      <c r="D975">
        <v>4</v>
      </c>
      <c r="E975">
        <v>37.17</v>
      </c>
      <c r="F975" t="str">
        <f t="shared" si="30"/>
        <v>2024-04</v>
      </c>
      <c r="G975">
        <f t="shared" si="31"/>
        <v>148.68</v>
      </c>
      <c r="H975" s="2">
        <v>45405.857630524908</v>
      </c>
      <c r="I975" t="s">
        <v>32</v>
      </c>
      <c r="J975" t="s">
        <v>1993</v>
      </c>
    </row>
    <row r="976" spans="1:10" x14ac:dyDescent="0.3">
      <c r="A976" t="s">
        <v>1994</v>
      </c>
      <c r="B976" t="s">
        <v>26</v>
      </c>
      <c r="C976" t="s">
        <v>28</v>
      </c>
      <c r="D976">
        <v>1</v>
      </c>
      <c r="E976">
        <v>25.77</v>
      </c>
      <c r="F976" t="str">
        <f t="shared" si="30"/>
        <v>2024-09</v>
      </c>
      <c r="G976">
        <f t="shared" si="31"/>
        <v>25.77</v>
      </c>
      <c r="H976" s="2">
        <v>45552.857630524908</v>
      </c>
      <c r="I976" t="s">
        <v>31</v>
      </c>
      <c r="J976" t="s">
        <v>1995</v>
      </c>
    </row>
    <row r="977" spans="1:10" x14ac:dyDescent="0.3">
      <c r="A977" t="s">
        <v>1996</v>
      </c>
      <c r="B977" t="s">
        <v>19</v>
      </c>
      <c r="C977" t="s">
        <v>28</v>
      </c>
      <c r="D977">
        <v>4</v>
      </c>
      <c r="E977">
        <v>43.41</v>
      </c>
      <c r="F977" t="str">
        <f t="shared" si="30"/>
        <v>2025-02</v>
      </c>
      <c r="G977">
        <f t="shared" si="31"/>
        <v>173.64</v>
      </c>
      <c r="H977" s="2">
        <v>45715.857630524908</v>
      </c>
      <c r="I977" t="s">
        <v>34</v>
      </c>
      <c r="J977" t="s">
        <v>1997</v>
      </c>
    </row>
    <row r="978" spans="1:10" x14ac:dyDescent="0.3">
      <c r="A978" t="s">
        <v>1998</v>
      </c>
      <c r="B978" t="s">
        <v>24</v>
      </c>
      <c r="C978" t="s">
        <v>28</v>
      </c>
      <c r="D978">
        <v>1</v>
      </c>
      <c r="E978">
        <v>14.82</v>
      </c>
      <c r="F978" t="str">
        <f t="shared" si="30"/>
        <v>2024-07</v>
      </c>
      <c r="G978">
        <f t="shared" si="31"/>
        <v>14.82</v>
      </c>
      <c r="H978" s="2">
        <v>45488.857630524908</v>
      </c>
      <c r="I978" t="s">
        <v>31</v>
      </c>
      <c r="J978" t="s">
        <v>1999</v>
      </c>
    </row>
    <row r="979" spans="1:10" x14ac:dyDescent="0.3">
      <c r="A979" t="s">
        <v>2000</v>
      </c>
      <c r="B979" t="s">
        <v>24</v>
      </c>
      <c r="C979" t="s">
        <v>28</v>
      </c>
      <c r="D979">
        <v>3</v>
      </c>
      <c r="E979">
        <v>36.770000000000003</v>
      </c>
      <c r="F979" t="str">
        <f t="shared" si="30"/>
        <v>2024-12</v>
      </c>
      <c r="G979">
        <f t="shared" si="31"/>
        <v>110.31</v>
      </c>
      <c r="H979" s="2">
        <v>45655.857630524908</v>
      </c>
      <c r="I979" t="s">
        <v>32</v>
      </c>
      <c r="J979" t="s">
        <v>2001</v>
      </c>
    </row>
    <row r="980" spans="1:10" x14ac:dyDescent="0.3">
      <c r="A980" t="s">
        <v>2002</v>
      </c>
      <c r="B980" t="s">
        <v>20</v>
      </c>
      <c r="C980" t="s">
        <v>30</v>
      </c>
      <c r="D980">
        <v>3</v>
      </c>
      <c r="E980">
        <v>31.2</v>
      </c>
      <c r="F980" t="str">
        <f t="shared" si="30"/>
        <v>2025-02</v>
      </c>
      <c r="G980">
        <f t="shared" si="31"/>
        <v>93.6</v>
      </c>
      <c r="H980" s="2">
        <v>45694.857630524908</v>
      </c>
      <c r="I980" t="s">
        <v>31</v>
      </c>
      <c r="J980" t="s">
        <v>2003</v>
      </c>
    </row>
    <row r="981" spans="1:10" x14ac:dyDescent="0.3">
      <c r="A981" t="s">
        <v>2004</v>
      </c>
      <c r="B981" t="s">
        <v>27</v>
      </c>
      <c r="C981" t="s">
        <v>28</v>
      </c>
      <c r="D981">
        <v>4</v>
      </c>
      <c r="E981">
        <v>28.72</v>
      </c>
      <c r="F981" t="str">
        <f t="shared" si="30"/>
        <v>2024-05</v>
      </c>
      <c r="G981">
        <f t="shared" si="31"/>
        <v>114.88</v>
      </c>
      <c r="H981" s="2">
        <v>45440.857630524908</v>
      </c>
      <c r="I981" t="s">
        <v>34</v>
      </c>
      <c r="J981" t="s">
        <v>2005</v>
      </c>
    </row>
    <row r="982" spans="1:10" x14ac:dyDescent="0.3">
      <c r="A982" t="s">
        <v>2006</v>
      </c>
      <c r="B982" t="s">
        <v>19</v>
      </c>
      <c r="C982" t="s">
        <v>28</v>
      </c>
      <c r="D982">
        <v>3</v>
      </c>
      <c r="E982">
        <v>37.049999999999997</v>
      </c>
      <c r="F982" t="str">
        <f t="shared" si="30"/>
        <v>2024-04</v>
      </c>
      <c r="G982">
        <f t="shared" si="31"/>
        <v>111.14999999999999</v>
      </c>
      <c r="H982" s="2">
        <v>45406.857630524908</v>
      </c>
      <c r="I982" t="s">
        <v>32</v>
      </c>
      <c r="J982" t="s">
        <v>2007</v>
      </c>
    </row>
    <row r="983" spans="1:10" x14ac:dyDescent="0.3">
      <c r="A983" t="s">
        <v>2008</v>
      </c>
      <c r="B983" t="s">
        <v>16</v>
      </c>
      <c r="C983" t="s">
        <v>29</v>
      </c>
      <c r="D983">
        <v>4</v>
      </c>
      <c r="E983">
        <v>53.48</v>
      </c>
      <c r="F983" t="str">
        <f t="shared" si="30"/>
        <v>2024-05</v>
      </c>
      <c r="G983">
        <f t="shared" si="31"/>
        <v>213.92</v>
      </c>
      <c r="H983" s="2">
        <v>45427.857630524908</v>
      </c>
      <c r="I983" t="s">
        <v>33</v>
      </c>
      <c r="J983" t="s">
        <v>2009</v>
      </c>
    </row>
    <row r="984" spans="1:10" x14ac:dyDescent="0.3">
      <c r="A984" t="s">
        <v>2010</v>
      </c>
      <c r="B984" t="s">
        <v>16</v>
      </c>
      <c r="C984" t="s">
        <v>29</v>
      </c>
      <c r="D984">
        <v>5</v>
      </c>
      <c r="E984">
        <v>57.31</v>
      </c>
      <c r="F984" t="str">
        <f t="shared" si="30"/>
        <v>2024-07</v>
      </c>
      <c r="G984">
        <f t="shared" si="31"/>
        <v>286.55</v>
      </c>
      <c r="H984" s="2">
        <v>45493.857630524908</v>
      </c>
      <c r="I984" t="s">
        <v>33</v>
      </c>
      <c r="J984" t="s">
        <v>2011</v>
      </c>
    </row>
    <row r="985" spans="1:10" x14ac:dyDescent="0.3">
      <c r="A985" t="s">
        <v>2012</v>
      </c>
      <c r="B985" t="s">
        <v>19</v>
      </c>
      <c r="C985" t="s">
        <v>28</v>
      </c>
      <c r="D985">
        <v>4</v>
      </c>
      <c r="E985">
        <v>15.17</v>
      </c>
      <c r="F985" t="str">
        <f t="shared" si="30"/>
        <v>2025-03</v>
      </c>
      <c r="G985">
        <f t="shared" si="31"/>
        <v>60.68</v>
      </c>
      <c r="H985" s="2">
        <v>45739.857630524908</v>
      </c>
      <c r="I985" t="s">
        <v>31</v>
      </c>
      <c r="J985" t="s">
        <v>2013</v>
      </c>
    </row>
    <row r="986" spans="1:10" x14ac:dyDescent="0.3">
      <c r="A986" t="s">
        <v>2014</v>
      </c>
      <c r="B986" t="s">
        <v>17</v>
      </c>
      <c r="C986" t="s">
        <v>29</v>
      </c>
      <c r="D986">
        <v>5</v>
      </c>
      <c r="E986">
        <v>38.729999999999997</v>
      </c>
      <c r="F986" t="str">
        <f t="shared" si="30"/>
        <v>2024-04</v>
      </c>
      <c r="G986">
        <f t="shared" si="31"/>
        <v>193.64999999999998</v>
      </c>
      <c r="H986" s="2">
        <v>45402.857630524908</v>
      </c>
      <c r="I986" t="s">
        <v>34</v>
      </c>
      <c r="J986" t="s">
        <v>2015</v>
      </c>
    </row>
    <row r="987" spans="1:10" x14ac:dyDescent="0.3">
      <c r="A987" t="s">
        <v>2016</v>
      </c>
      <c r="B987" t="s">
        <v>17</v>
      </c>
      <c r="C987" t="s">
        <v>29</v>
      </c>
      <c r="D987">
        <v>3</v>
      </c>
      <c r="E987">
        <v>38.090000000000003</v>
      </c>
      <c r="F987" t="str">
        <f t="shared" si="30"/>
        <v>2024-08</v>
      </c>
      <c r="G987">
        <f t="shared" si="31"/>
        <v>114.27000000000001</v>
      </c>
      <c r="H987" s="2">
        <v>45513.857630524908</v>
      </c>
      <c r="I987" t="s">
        <v>31</v>
      </c>
      <c r="J987" t="s">
        <v>2017</v>
      </c>
    </row>
    <row r="988" spans="1:10" x14ac:dyDescent="0.3">
      <c r="A988" t="s">
        <v>2018</v>
      </c>
      <c r="B988" t="s">
        <v>22</v>
      </c>
      <c r="C988" t="s">
        <v>30</v>
      </c>
      <c r="D988">
        <v>3</v>
      </c>
      <c r="E988">
        <v>51.63</v>
      </c>
      <c r="F988" t="str">
        <f t="shared" si="30"/>
        <v>2025-01</v>
      </c>
      <c r="G988">
        <f t="shared" si="31"/>
        <v>154.89000000000001</v>
      </c>
      <c r="H988" s="2">
        <v>45665.857630524908</v>
      </c>
      <c r="I988" t="s">
        <v>34</v>
      </c>
      <c r="J988" t="s">
        <v>2019</v>
      </c>
    </row>
    <row r="989" spans="1:10" x14ac:dyDescent="0.3">
      <c r="A989" t="s">
        <v>2020</v>
      </c>
      <c r="B989" t="s">
        <v>21</v>
      </c>
      <c r="C989" t="s">
        <v>30</v>
      </c>
      <c r="D989">
        <v>5</v>
      </c>
      <c r="E989">
        <v>40.42</v>
      </c>
      <c r="F989" t="str">
        <f t="shared" si="30"/>
        <v>2024-06</v>
      </c>
      <c r="G989">
        <f t="shared" si="31"/>
        <v>202.10000000000002</v>
      </c>
      <c r="H989" s="2">
        <v>45444.857630524908</v>
      </c>
      <c r="I989" t="s">
        <v>34</v>
      </c>
      <c r="J989" t="s">
        <v>2021</v>
      </c>
    </row>
    <row r="990" spans="1:10" x14ac:dyDescent="0.3">
      <c r="A990" t="s">
        <v>2022</v>
      </c>
      <c r="B990" t="s">
        <v>21</v>
      </c>
      <c r="C990" t="s">
        <v>30</v>
      </c>
      <c r="D990">
        <v>4</v>
      </c>
      <c r="E990">
        <v>20.89</v>
      </c>
      <c r="F990" t="str">
        <f t="shared" si="30"/>
        <v>2024-04</v>
      </c>
      <c r="G990">
        <f t="shared" si="31"/>
        <v>83.56</v>
      </c>
      <c r="H990" s="2">
        <v>45406.857630524908</v>
      </c>
      <c r="I990" t="s">
        <v>32</v>
      </c>
      <c r="J990" t="s">
        <v>2023</v>
      </c>
    </row>
    <row r="991" spans="1:10" x14ac:dyDescent="0.3">
      <c r="A991" t="s">
        <v>2024</v>
      </c>
      <c r="B991" t="s">
        <v>26</v>
      </c>
      <c r="C991" t="s">
        <v>28</v>
      </c>
      <c r="D991">
        <v>1</v>
      </c>
      <c r="E991">
        <v>17.21</v>
      </c>
      <c r="F991" t="str">
        <f t="shared" si="30"/>
        <v>2024-04</v>
      </c>
      <c r="G991">
        <f t="shared" si="31"/>
        <v>17.21</v>
      </c>
      <c r="H991" s="2">
        <v>45406.857630524908</v>
      </c>
      <c r="I991" t="s">
        <v>32</v>
      </c>
      <c r="J991" t="s">
        <v>2025</v>
      </c>
    </row>
    <row r="992" spans="1:10" x14ac:dyDescent="0.3">
      <c r="A992" t="s">
        <v>2026</v>
      </c>
      <c r="B992" t="s">
        <v>25</v>
      </c>
      <c r="C992" t="s">
        <v>30</v>
      </c>
      <c r="D992">
        <v>2</v>
      </c>
      <c r="E992">
        <v>32.479999999999997</v>
      </c>
      <c r="F992" t="str">
        <f t="shared" si="30"/>
        <v>2024-08</v>
      </c>
      <c r="G992">
        <f t="shared" si="31"/>
        <v>64.959999999999994</v>
      </c>
      <c r="H992" s="2">
        <v>45522.857630524908</v>
      </c>
      <c r="I992" t="s">
        <v>33</v>
      </c>
      <c r="J992" t="s">
        <v>2027</v>
      </c>
    </row>
    <row r="993" spans="1:10" x14ac:dyDescent="0.3">
      <c r="A993" t="s">
        <v>2028</v>
      </c>
      <c r="B993" t="s">
        <v>17</v>
      </c>
      <c r="C993" t="s">
        <v>29</v>
      </c>
      <c r="D993">
        <v>5</v>
      </c>
      <c r="E993">
        <v>44.6</v>
      </c>
      <c r="F993" t="str">
        <f t="shared" si="30"/>
        <v>2024-09</v>
      </c>
      <c r="G993">
        <f t="shared" si="31"/>
        <v>223</v>
      </c>
      <c r="H993" s="2">
        <v>45537.857630524908</v>
      </c>
      <c r="I993" t="s">
        <v>34</v>
      </c>
      <c r="J993" t="s">
        <v>2029</v>
      </c>
    </row>
    <row r="994" spans="1:10" x14ac:dyDescent="0.3">
      <c r="A994" t="s">
        <v>2030</v>
      </c>
      <c r="B994" t="s">
        <v>26</v>
      </c>
      <c r="C994" t="s">
        <v>28</v>
      </c>
      <c r="D994">
        <v>2</v>
      </c>
      <c r="E994">
        <v>26.9</v>
      </c>
      <c r="F994" t="str">
        <f t="shared" si="30"/>
        <v>2025-03</v>
      </c>
      <c r="G994">
        <f t="shared" si="31"/>
        <v>53.8</v>
      </c>
      <c r="H994" s="2">
        <v>45734.857630524908</v>
      </c>
      <c r="I994" t="s">
        <v>32</v>
      </c>
      <c r="J994" t="s">
        <v>2031</v>
      </c>
    </row>
    <row r="995" spans="1:10" x14ac:dyDescent="0.3">
      <c r="A995" t="s">
        <v>2032</v>
      </c>
      <c r="B995" t="s">
        <v>23</v>
      </c>
      <c r="C995" t="s">
        <v>28</v>
      </c>
      <c r="D995">
        <v>4</v>
      </c>
      <c r="E995">
        <v>45.33</v>
      </c>
      <c r="F995" t="str">
        <f t="shared" si="30"/>
        <v>2024-07</v>
      </c>
      <c r="G995">
        <f t="shared" si="31"/>
        <v>181.32</v>
      </c>
      <c r="H995" s="2">
        <v>45478.857630524908</v>
      </c>
      <c r="I995" t="s">
        <v>35</v>
      </c>
      <c r="J995" t="s">
        <v>2033</v>
      </c>
    </row>
    <row r="996" spans="1:10" x14ac:dyDescent="0.3">
      <c r="A996" t="s">
        <v>2034</v>
      </c>
      <c r="B996" t="s">
        <v>18</v>
      </c>
      <c r="C996" t="s">
        <v>29</v>
      </c>
      <c r="D996">
        <v>2</v>
      </c>
      <c r="E996">
        <v>38.4</v>
      </c>
      <c r="F996" t="str">
        <f t="shared" si="30"/>
        <v>2025-01</v>
      </c>
      <c r="G996">
        <f t="shared" si="31"/>
        <v>76.8</v>
      </c>
      <c r="H996" s="2">
        <v>45665.857630524908</v>
      </c>
      <c r="I996" t="s">
        <v>35</v>
      </c>
      <c r="J996" t="s">
        <v>2035</v>
      </c>
    </row>
    <row r="997" spans="1:10" x14ac:dyDescent="0.3">
      <c r="A997" t="s">
        <v>2036</v>
      </c>
      <c r="B997" t="s">
        <v>18</v>
      </c>
      <c r="C997" t="s">
        <v>29</v>
      </c>
      <c r="D997">
        <v>1</v>
      </c>
      <c r="E997">
        <v>56.66</v>
      </c>
      <c r="F997" t="str">
        <f t="shared" si="30"/>
        <v>2025-01</v>
      </c>
      <c r="G997">
        <f t="shared" si="31"/>
        <v>56.66</v>
      </c>
      <c r="H997" s="2">
        <v>45670.857630524908</v>
      </c>
      <c r="I997" t="s">
        <v>31</v>
      </c>
      <c r="J997" t="s">
        <v>2037</v>
      </c>
    </row>
    <row r="998" spans="1:10" x14ac:dyDescent="0.3">
      <c r="A998" t="s">
        <v>2038</v>
      </c>
      <c r="B998" t="s">
        <v>18</v>
      </c>
      <c r="C998" t="s">
        <v>29</v>
      </c>
      <c r="D998">
        <v>4</v>
      </c>
      <c r="E998">
        <v>45.97</v>
      </c>
      <c r="F998" t="str">
        <f t="shared" si="30"/>
        <v>2024-06</v>
      </c>
      <c r="G998">
        <f t="shared" si="31"/>
        <v>183.88</v>
      </c>
      <c r="H998" s="2">
        <v>45449.857630524908</v>
      </c>
      <c r="I998" t="s">
        <v>35</v>
      </c>
      <c r="J998" t="s">
        <v>2039</v>
      </c>
    </row>
    <row r="999" spans="1:10" x14ac:dyDescent="0.3">
      <c r="A999" t="s">
        <v>2040</v>
      </c>
      <c r="B999" t="s">
        <v>18</v>
      </c>
      <c r="C999" t="s">
        <v>29</v>
      </c>
      <c r="D999">
        <v>2</v>
      </c>
      <c r="E999">
        <v>47.91</v>
      </c>
      <c r="F999" t="str">
        <f t="shared" si="30"/>
        <v>2024-11</v>
      </c>
      <c r="G999">
        <f t="shared" si="31"/>
        <v>95.82</v>
      </c>
      <c r="H999" s="2">
        <v>45606.857630524908</v>
      </c>
      <c r="I999" t="s">
        <v>31</v>
      </c>
      <c r="J999" t="s">
        <v>2041</v>
      </c>
    </row>
    <row r="1000" spans="1:10" x14ac:dyDescent="0.3">
      <c r="A1000" t="s">
        <v>2042</v>
      </c>
      <c r="B1000" t="s">
        <v>22</v>
      </c>
      <c r="C1000" t="s">
        <v>30</v>
      </c>
      <c r="D1000">
        <v>1</v>
      </c>
      <c r="E1000">
        <v>29.87</v>
      </c>
      <c r="F1000" t="str">
        <f t="shared" si="30"/>
        <v>2024-09</v>
      </c>
      <c r="G1000">
        <f t="shared" si="31"/>
        <v>29.87</v>
      </c>
      <c r="H1000" s="2">
        <v>45555.857630524908</v>
      </c>
      <c r="I1000" t="s">
        <v>33</v>
      </c>
      <c r="J1000" t="s">
        <v>2043</v>
      </c>
    </row>
    <row r="1001" spans="1:10" x14ac:dyDescent="0.3">
      <c r="A1001" t="s">
        <v>2044</v>
      </c>
      <c r="B1001" t="s">
        <v>25</v>
      </c>
      <c r="C1001" t="s">
        <v>30</v>
      </c>
      <c r="D1001">
        <v>3</v>
      </c>
      <c r="E1001">
        <v>16.75</v>
      </c>
      <c r="F1001" t="str">
        <f t="shared" si="30"/>
        <v>2025-03</v>
      </c>
      <c r="G1001">
        <f t="shared" si="31"/>
        <v>50.25</v>
      </c>
      <c r="H1001" s="2">
        <v>45736.857630524908</v>
      </c>
      <c r="I1001" t="s">
        <v>32</v>
      </c>
      <c r="J1001" t="s">
        <v>2045</v>
      </c>
    </row>
    <row r="1002" spans="1:10" x14ac:dyDescent="0.3">
      <c r="A1002" t="s">
        <v>2046</v>
      </c>
      <c r="B1002" t="s">
        <v>17</v>
      </c>
      <c r="C1002" t="s">
        <v>29</v>
      </c>
      <c r="D1002">
        <v>1</v>
      </c>
      <c r="E1002">
        <v>42.54</v>
      </c>
      <c r="F1002" t="str">
        <f t="shared" si="30"/>
        <v>2024-10</v>
      </c>
      <c r="G1002">
        <f t="shared" si="31"/>
        <v>42.54</v>
      </c>
      <c r="H1002" s="2">
        <v>45589.857630524908</v>
      </c>
      <c r="I1002" t="s">
        <v>31</v>
      </c>
      <c r="J1002" t="s">
        <v>2047</v>
      </c>
    </row>
    <row r="1003" spans="1:10" x14ac:dyDescent="0.3">
      <c r="A1003" t="s">
        <v>2048</v>
      </c>
      <c r="B1003" t="s">
        <v>16</v>
      </c>
      <c r="C1003" t="s">
        <v>29</v>
      </c>
      <c r="D1003">
        <v>3</v>
      </c>
      <c r="E1003">
        <v>37.950000000000003</v>
      </c>
      <c r="F1003" t="str">
        <f t="shared" si="30"/>
        <v>2025-02</v>
      </c>
      <c r="G1003">
        <f t="shared" si="31"/>
        <v>113.85000000000001</v>
      </c>
      <c r="H1003" s="2">
        <v>45711.857630524908</v>
      </c>
      <c r="I1003" t="s">
        <v>32</v>
      </c>
      <c r="J1003" t="s">
        <v>2049</v>
      </c>
    </row>
    <row r="1004" spans="1:10" x14ac:dyDescent="0.3">
      <c r="A1004" t="s">
        <v>2050</v>
      </c>
      <c r="B1004" t="s">
        <v>27</v>
      </c>
      <c r="C1004" t="s">
        <v>28</v>
      </c>
      <c r="D1004">
        <v>5</v>
      </c>
      <c r="E1004">
        <v>15.43</v>
      </c>
      <c r="F1004" t="str">
        <f t="shared" si="30"/>
        <v>2024-08</v>
      </c>
      <c r="G1004">
        <f t="shared" si="31"/>
        <v>77.150000000000006</v>
      </c>
      <c r="H1004" s="2">
        <v>45518.857630524908</v>
      </c>
      <c r="I1004" t="s">
        <v>33</v>
      </c>
      <c r="J1004" t="s">
        <v>2051</v>
      </c>
    </row>
    <row r="1005" spans="1:10" x14ac:dyDescent="0.3">
      <c r="A1005" t="s">
        <v>2052</v>
      </c>
      <c r="B1005" t="s">
        <v>26</v>
      </c>
      <c r="C1005" t="s">
        <v>28</v>
      </c>
      <c r="D1005">
        <v>4</v>
      </c>
      <c r="E1005">
        <v>30.78</v>
      </c>
      <c r="F1005" t="str">
        <f t="shared" si="30"/>
        <v>2024-12</v>
      </c>
      <c r="G1005">
        <f t="shared" si="31"/>
        <v>123.12</v>
      </c>
      <c r="H1005" s="2">
        <v>45631.857630524908</v>
      </c>
      <c r="I1005" t="s">
        <v>31</v>
      </c>
      <c r="J1005" t="s">
        <v>2053</v>
      </c>
    </row>
    <row r="1006" spans="1:10" x14ac:dyDescent="0.3">
      <c r="A1006" t="s">
        <v>2054</v>
      </c>
      <c r="B1006" t="s">
        <v>17</v>
      </c>
      <c r="C1006" t="s">
        <v>29</v>
      </c>
      <c r="D1006">
        <v>4</v>
      </c>
      <c r="E1006">
        <v>39.630000000000003</v>
      </c>
      <c r="F1006" t="str">
        <f t="shared" si="30"/>
        <v>2024-10</v>
      </c>
      <c r="G1006">
        <f t="shared" si="31"/>
        <v>158.52000000000001</v>
      </c>
      <c r="H1006" s="2">
        <v>45595.857630524908</v>
      </c>
      <c r="I1006" t="s">
        <v>34</v>
      </c>
      <c r="J1006" t="s">
        <v>2055</v>
      </c>
    </row>
    <row r="1007" spans="1:10" x14ac:dyDescent="0.3">
      <c r="A1007" t="s">
        <v>2056</v>
      </c>
      <c r="B1007" t="s">
        <v>20</v>
      </c>
      <c r="C1007" t="s">
        <v>30</v>
      </c>
      <c r="D1007">
        <v>2</v>
      </c>
      <c r="E1007">
        <v>47.87</v>
      </c>
      <c r="F1007" t="str">
        <f t="shared" si="30"/>
        <v>2024-10</v>
      </c>
      <c r="G1007">
        <f t="shared" si="31"/>
        <v>95.74</v>
      </c>
      <c r="H1007" s="2">
        <v>45596.857630524908</v>
      </c>
      <c r="I1007" t="s">
        <v>31</v>
      </c>
      <c r="J1007" t="s">
        <v>2057</v>
      </c>
    </row>
    <row r="1008" spans="1:10" x14ac:dyDescent="0.3">
      <c r="A1008" t="s">
        <v>2058</v>
      </c>
      <c r="B1008" t="s">
        <v>17</v>
      </c>
      <c r="C1008" t="s">
        <v>29</v>
      </c>
      <c r="D1008">
        <v>2</v>
      </c>
      <c r="E1008">
        <v>27.22</v>
      </c>
      <c r="F1008" t="str">
        <f t="shared" si="30"/>
        <v>2025-01</v>
      </c>
      <c r="G1008">
        <f t="shared" si="31"/>
        <v>54.44</v>
      </c>
      <c r="H1008" s="2">
        <v>45684.857630524908</v>
      </c>
      <c r="I1008" t="s">
        <v>34</v>
      </c>
      <c r="J1008" t="s">
        <v>2059</v>
      </c>
    </row>
    <row r="1009" spans="1:10" x14ac:dyDescent="0.3">
      <c r="A1009" t="s">
        <v>2060</v>
      </c>
      <c r="B1009" t="s">
        <v>24</v>
      </c>
      <c r="C1009" t="s">
        <v>28</v>
      </c>
      <c r="D1009">
        <v>3</v>
      </c>
      <c r="E1009">
        <v>27.66</v>
      </c>
      <c r="F1009" t="str">
        <f t="shared" si="30"/>
        <v>2024-09</v>
      </c>
      <c r="G1009">
        <f t="shared" si="31"/>
        <v>82.98</v>
      </c>
      <c r="H1009" s="2">
        <v>45546.857630524908</v>
      </c>
      <c r="I1009" t="s">
        <v>32</v>
      </c>
      <c r="J1009" t="s">
        <v>2061</v>
      </c>
    </row>
    <row r="1010" spans="1:10" x14ac:dyDescent="0.3">
      <c r="A1010" t="s">
        <v>2062</v>
      </c>
      <c r="B1010" t="s">
        <v>23</v>
      </c>
      <c r="C1010" t="s">
        <v>28</v>
      </c>
      <c r="D1010">
        <v>1</v>
      </c>
      <c r="E1010">
        <v>42.94</v>
      </c>
      <c r="F1010" t="str">
        <f t="shared" si="30"/>
        <v>2024-12</v>
      </c>
      <c r="G1010">
        <f t="shared" si="31"/>
        <v>42.94</v>
      </c>
      <c r="H1010" s="2">
        <v>45650.857630524908</v>
      </c>
      <c r="I1010" t="s">
        <v>32</v>
      </c>
      <c r="J1010" t="s">
        <v>2063</v>
      </c>
    </row>
    <row r="1011" spans="1:10" x14ac:dyDescent="0.3">
      <c r="A1011" t="s">
        <v>2064</v>
      </c>
      <c r="B1011" t="s">
        <v>22</v>
      </c>
      <c r="C1011" t="s">
        <v>30</v>
      </c>
      <c r="D1011">
        <v>5</v>
      </c>
      <c r="E1011">
        <v>57.17</v>
      </c>
      <c r="F1011" t="str">
        <f t="shared" si="30"/>
        <v>2025-01</v>
      </c>
      <c r="G1011">
        <f t="shared" si="31"/>
        <v>285.85000000000002</v>
      </c>
      <c r="H1011" s="2">
        <v>45667.857630524908</v>
      </c>
      <c r="I1011" t="s">
        <v>31</v>
      </c>
      <c r="J1011" t="s">
        <v>2065</v>
      </c>
    </row>
    <row r="1012" spans="1:10" x14ac:dyDescent="0.3">
      <c r="A1012" t="s">
        <v>2066</v>
      </c>
      <c r="B1012" t="s">
        <v>26</v>
      </c>
      <c r="C1012" t="s">
        <v>28</v>
      </c>
      <c r="D1012">
        <v>4</v>
      </c>
      <c r="E1012">
        <v>56.89</v>
      </c>
      <c r="F1012" t="str">
        <f t="shared" si="30"/>
        <v>2025-03</v>
      </c>
      <c r="G1012">
        <f t="shared" si="31"/>
        <v>227.56</v>
      </c>
      <c r="H1012" s="2">
        <v>45730.857630524908</v>
      </c>
      <c r="I1012" t="s">
        <v>35</v>
      </c>
      <c r="J1012" t="s">
        <v>2067</v>
      </c>
    </row>
    <row r="1013" spans="1:10" x14ac:dyDescent="0.3">
      <c r="A1013" t="s">
        <v>2068</v>
      </c>
      <c r="B1013" t="s">
        <v>23</v>
      </c>
      <c r="C1013" t="s">
        <v>28</v>
      </c>
      <c r="D1013">
        <v>4</v>
      </c>
      <c r="E1013">
        <v>27.67</v>
      </c>
      <c r="F1013" t="str">
        <f t="shared" si="30"/>
        <v>2025-03</v>
      </c>
      <c r="G1013">
        <f t="shared" si="31"/>
        <v>110.68</v>
      </c>
      <c r="H1013" s="2">
        <v>45737.857630524908</v>
      </c>
      <c r="I1013" t="s">
        <v>32</v>
      </c>
      <c r="J1013" t="s">
        <v>2069</v>
      </c>
    </row>
    <row r="1014" spans="1:10" x14ac:dyDescent="0.3">
      <c r="A1014" t="s">
        <v>2070</v>
      </c>
      <c r="B1014" t="s">
        <v>18</v>
      </c>
      <c r="C1014" t="s">
        <v>29</v>
      </c>
      <c r="D1014">
        <v>4</v>
      </c>
      <c r="E1014">
        <v>19.48</v>
      </c>
      <c r="F1014" t="str">
        <f t="shared" si="30"/>
        <v>2024-10</v>
      </c>
      <c r="G1014">
        <f t="shared" si="31"/>
        <v>77.92</v>
      </c>
      <c r="H1014" s="2">
        <v>45585.857630524908</v>
      </c>
      <c r="I1014" t="s">
        <v>33</v>
      </c>
      <c r="J1014" t="s">
        <v>2071</v>
      </c>
    </row>
    <row r="1015" spans="1:10" x14ac:dyDescent="0.3">
      <c r="A1015" t="s">
        <v>2072</v>
      </c>
      <c r="B1015" t="s">
        <v>24</v>
      </c>
      <c r="C1015" t="s">
        <v>28</v>
      </c>
      <c r="D1015">
        <v>2</v>
      </c>
      <c r="E1015">
        <v>59.09</v>
      </c>
      <c r="F1015" t="str">
        <f t="shared" si="30"/>
        <v>2025-01</v>
      </c>
      <c r="G1015">
        <f t="shared" si="31"/>
        <v>118.18</v>
      </c>
      <c r="H1015" s="2">
        <v>45684.857630524908</v>
      </c>
      <c r="I1015" t="s">
        <v>34</v>
      </c>
      <c r="J1015" t="s">
        <v>2073</v>
      </c>
    </row>
    <row r="1016" spans="1:10" x14ac:dyDescent="0.3">
      <c r="A1016" t="s">
        <v>2074</v>
      </c>
      <c r="B1016" t="s">
        <v>18</v>
      </c>
      <c r="C1016" t="s">
        <v>29</v>
      </c>
      <c r="D1016">
        <v>1</v>
      </c>
      <c r="E1016">
        <v>46.53</v>
      </c>
      <c r="F1016" t="str">
        <f t="shared" si="30"/>
        <v>2025-01</v>
      </c>
      <c r="G1016">
        <f t="shared" si="31"/>
        <v>46.53</v>
      </c>
      <c r="H1016" s="2">
        <v>45681.857630524908</v>
      </c>
      <c r="I1016" t="s">
        <v>33</v>
      </c>
      <c r="J1016" t="s">
        <v>2075</v>
      </c>
    </row>
    <row r="1017" spans="1:10" x14ac:dyDescent="0.3">
      <c r="A1017" t="s">
        <v>2076</v>
      </c>
      <c r="B1017" t="s">
        <v>16</v>
      </c>
      <c r="C1017" t="s">
        <v>29</v>
      </c>
      <c r="D1017">
        <v>1</v>
      </c>
      <c r="E1017">
        <v>12.65</v>
      </c>
      <c r="F1017" t="str">
        <f t="shared" si="30"/>
        <v>2024-06</v>
      </c>
      <c r="G1017">
        <f t="shared" si="31"/>
        <v>12.65</v>
      </c>
      <c r="H1017" s="2">
        <v>45444.857630524908</v>
      </c>
      <c r="I1017" t="s">
        <v>31</v>
      </c>
      <c r="J1017" t="s">
        <v>2077</v>
      </c>
    </row>
    <row r="1018" spans="1:10" x14ac:dyDescent="0.3">
      <c r="A1018" t="s">
        <v>2078</v>
      </c>
      <c r="B1018" t="s">
        <v>22</v>
      </c>
      <c r="C1018" t="s">
        <v>30</v>
      </c>
      <c r="D1018">
        <v>5</v>
      </c>
      <c r="E1018">
        <v>32.5</v>
      </c>
      <c r="F1018" t="str">
        <f t="shared" si="30"/>
        <v>2024-06</v>
      </c>
      <c r="G1018">
        <f t="shared" si="31"/>
        <v>162.5</v>
      </c>
      <c r="H1018" s="2">
        <v>45453.857630524908</v>
      </c>
      <c r="I1018" t="s">
        <v>31</v>
      </c>
      <c r="J1018" t="s">
        <v>2079</v>
      </c>
    </row>
    <row r="1019" spans="1:10" x14ac:dyDescent="0.3">
      <c r="A1019" t="s">
        <v>2080</v>
      </c>
      <c r="B1019" t="s">
        <v>17</v>
      </c>
      <c r="C1019" t="s">
        <v>29</v>
      </c>
      <c r="D1019">
        <v>3</v>
      </c>
      <c r="E1019">
        <v>42.05</v>
      </c>
      <c r="F1019" t="str">
        <f t="shared" si="30"/>
        <v>2024-05</v>
      </c>
      <c r="G1019">
        <f t="shared" si="31"/>
        <v>126.14999999999999</v>
      </c>
      <c r="H1019" s="2">
        <v>45443.857630524908</v>
      </c>
      <c r="I1019" t="s">
        <v>32</v>
      </c>
      <c r="J1019" t="s">
        <v>2081</v>
      </c>
    </row>
    <row r="1020" spans="1:10" x14ac:dyDescent="0.3">
      <c r="A1020" t="s">
        <v>2082</v>
      </c>
      <c r="B1020" t="s">
        <v>26</v>
      </c>
      <c r="C1020" t="s">
        <v>28</v>
      </c>
      <c r="D1020">
        <v>4</v>
      </c>
      <c r="E1020">
        <v>20.63</v>
      </c>
      <c r="F1020" t="str">
        <f t="shared" si="30"/>
        <v>2024-10</v>
      </c>
      <c r="G1020">
        <f t="shared" si="31"/>
        <v>82.52</v>
      </c>
      <c r="H1020" s="2">
        <v>45595.857630524908</v>
      </c>
      <c r="I1020" t="s">
        <v>33</v>
      </c>
      <c r="J1020" t="s">
        <v>2083</v>
      </c>
    </row>
    <row r="1021" spans="1:10" x14ac:dyDescent="0.3">
      <c r="A1021" t="s">
        <v>2084</v>
      </c>
      <c r="B1021" t="s">
        <v>27</v>
      </c>
      <c r="C1021" t="s">
        <v>28</v>
      </c>
      <c r="D1021">
        <v>3</v>
      </c>
      <c r="E1021">
        <v>48.91</v>
      </c>
      <c r="F1021" t="str">
        <f t="shared" si="30"/>
        <v>2024-08</v>
      </c>
      <c r="G1021">
        <f t="shared" si="31"/>
        <v>146.72999999999999</v>
      </c>
      <c r="H1021" s="2">
        <v>45510.857630524908</v>
      </c>
      <c r="I1021" t="s">
        <v>35</v>
      </c>
      <c r="J1021" t="s">
        <v>2085</v>
      </c>
    </row>
    <row r="1022" spans="1:10" x14ac:dyDescent="0.3">
      <c r="A1022" t="s">
        <v>2086</v>
      </c>
      <c r="B1022" t="s">
        <v>22</v>
      </c>
      <c r="C1022" t="s">
        <v>30</v>
      </c>
      <c r="D1022">
        <v>3</v>
      </c>
      <c r="E1022">
        <v>49.66</v>
      </c>
      <c r="F1022" t="str">
        <f t="shared" si="30"/>
        <v>2025-03</v>
      </c>
      <c r="G1022">
        <f t="shared" si="31"/>
        <v>148.97999999999999</v>
      </c>
      <c r="H1022" s="2">
        <v>45719.857630524908</v>
      </c>
      <c r="I1022" t="s">
        <v>33</v>
      </c>
      <c r="J1022" t="s">
        <v>2087</v>
      </c>
    </row>
    <row r="1023" spans="1:10" x14ac:dyDescent="0.3">
      <c r="A1023" t="s">
        <v>2088</v>
      </c>
      <c r="B1023" t="s">
        <v>23</v>
      </c>
      <c r="C1023" t="s">
        <v>28</v>
      </c>
      <c r="D1023">
        <v>5</v>
      </c>
      <c r="E1023">
        <v>20.9</v>
      </c>
      <c r="F1023" t="str">
        <f t="shared" si="30"/>
        <v>2024-06</v>
      </c>
      <c r="G1023">
        <f t="shared" si="31"/>
        <v>104.5</v>
      </c>
      <c r="H1023" s="2">
        <v>45450.857630524908</v>
      </c>
      <c r="I1023" t="s">
        <v>34</v>
      </c>
      <c r="J1023" t="s">
        <v>2089</v>
      </c>
    </row>
    <row r="1024" spans="1:10" x14ac:dyDescent="0.3">
      <c r="A1024" t="s">
        <v>2090</v>
      </c>
      <c r="B1024" t="s">
        <v>18</v>
      </c>
      <c r="C1024" t="s">
        <v>29</v>
      </c>
      <c r="D1024">
        <v>3</v>
      </c>
      <c r="E1024">
        <v>32.07</v>
      </c>
      <c r="F1024" t="str">
        <f t="shared" si="30"/>
        <v>2024-10</v>
      </c>
      <c r="G1024">
        <f t="shared" si="31"/>
        <v>96.210000000000008</v>
      </c>
      <c r="H1024" s="2">
        <v>45571.857630524908</v>
      </c>
      <c r="I1024" t="s">
        <v>33</v>
      </c>
      <c r="J1024" t="s">
        <v>2091</v>
      </c>
    </row>
    <row r="1025" spans="1:10" x14ac:dyDescent="0.3">
      <c r="A1025" t="s">
        <v>2092</v>
      </c>
      <c r="B1025" t="s">
        <v>26</v>
      </c>
      <c r="C1025" t="s">
        <v>28</v>
      </c>
      <c r="D1025">
        <v>3</v>
      </c>
      <c r="E1025">
        <v>23.89</v>
      </c>
      <c r="F1025" t="str">
        <f t="shared" si="30"/>
        <v>2025-01</v>
      </c>
      <c r="G1025">
        <f t="shared" si="31"/>
        <v>71.67</v>
      </c>
      <c r="H1025" s="2">
        <v>45684.857630524908</v>
      </c>
      <c r="I1025" t="s">
        <v>35</v>
      </c>
      <c r="J1025" t="s">
        <v>2093</v>
      </c>
    </row>
    <row r="1026" spans="1:10" x14ac:dyDescent="0.3">
      <c r="A1026" t="s">
        <v>2094</v>
      </c>
      <c r="B1026" t="s">
        <v>18</v>
      </c>
      <c r="C1026" t="s">
        <v>29</v>
      </c>
      <c r="D1026">
        <v>1</v>
      </c>
      <c r="E1026">
        <v>25.18</v>
      </c>
      <c r="F1026" t="str">
        <f t="shared" si="30"/>
        <v>2024-05</v>
      </c>
      <c r="G1026">
        <f t="shared" si="31"/>
        <v>25.18</v>
      </c>
      <c r="H1026" s="2">
        <v>45424.857630524908</v>
      </c>
      <c r="I1026" t="s">
        <v>31</v>
      </c>
      <c r="J1026" t="s">
        <v>2095</v>
      </c>
    </row>
    <row r="1027" spans="1:10" x14ac:dyDescent="0.3">
      <c r="A1027" t="s">
        <v>2096</v>
      </c>
      <c r="B1027" t="s">
        <v>26</v>
      </c>
      <c r="C1027" t="s">
        <v>28</v>
      </c>
      <c r="D1027">
        <v>4</v>
      </c>
      <c r="E1027">
        <v>13.61</v>
      </c>
      <c r="F1027" t="str">
        <f t="shared" ref="F1027:F1090" si="32">TEXT(H1027, "yyyy-mm")</f>
        <v>2024-09</v>
      </c>
      <c r="G1027">
        <f t="shared" ref="G1027:G1090" si="33">D1027*E1027</f>
        <v>54.44</v>
      </c>
      <c r="H1027" s="2">
        <v>45542.857630524908</v>
      </c>
      <c r="I1027" t="s">
        <v>34</v>
      </c>
      <c r="J1027" t="s">
        <v>2097</v>
      </c>
    </row>
    <row r="1028" spans="1:10" x14ac:dyDescent="0.3">
      <c r="A1028" t="s">
        <v>2098</v>
      </c>
      <c r="B1028" t="s">
        <v>20</v>
      </c>
      <c r="C1028" t="s">
        <v>30</v>
      </c>
      <c r="D1028">
        <v>5</v>
      </c>
      <c r="E1028">
        <v>59.29</v>
      </c>
      <c r="F1028" t="str">
        <f t="shared" si="32"/>
        <v>2024-11</v>
      </c>
      <c r="G1028">
        <f t="shared" si="33"/>
        <v>296.45</v>
      </c>
      <c r="H1028" s="2">
        <v>45604.857630524908</v>
      </c>
      <c r="I1028" t="s">
        <v>31</v>
      </c>
      <c r="J1028" t="s">
        <v>2099</v>
      </c>
    </row>
    <row r="1029" spans="1:10" x14ac:dyDescent="0.3">
      <c r="A1029" t="s">
        <v>2100</v>
      </c>
      <c r="B1029" t="s">
        <v>16</v>
      </c>
      <c r="C1029" t="s">
        <v>29</v>
      </c>
      <c r="D1029">
        <v>5</v>
      </c>
      <c r="E1029">
        <v>41.79</v>
      </c>
      <c r="F1029" t="str">
        <f t="shared" si="32"/>
        <v>2024-04</v>
      </c>
      <c r="G1029">
        <f t="shared" si="33"/>
        <v>208.95</v>
      </c>
      <c r="H1029" s="2">
        <v>45398.857630524908</v>
      </c>
      <c r="I1029" t="s">
        <v>32</v>
      </c>
      <c r="J1029" t="s">
        <v>2101</v>
      </c>
    </row>
    <row r="1030" spans="1:10" x14ac:dyDescent="0.3">
      <c r="A1030" t="s">
        <v>2102</v>
      </c>
      <c r="B1030" t="s">
        <v>19</v>
      </c>
      <c r="C1030" t="s">
        <v>28</v>
      </c>
      <c r="D1030">
        <v>3</v>
      </c>
      <c r="E1030">
        <v>43.87</v>
      </c>
      <c r="F1030" t="str">
        <f t="shared" si="32"/>
        <v>2024-11</v>
      </c>
      <c r="G1030">
        <f t="shared" si="33"/>
        <v>131.60999999999999</v>
      </c>
      <c r="H1030" s="2">
        <v>45622.857630524908</v>
      </c>
      <c r="I1030" t="s">
        <v>33</v>
      </c>
      <c r="J1030" t="s">
        <v>2103</v>
      </c>
    </row>
    <row r="1031" spans="1:10" x14ac:dyDescent="0.3">
      <c r="A1031" t="s">
        <v>2104</v>
      </c>
      <c r="B1031" t="s">
        <v>21</v>
      </c>
      <c r="C1031" t="s">
        <v>30</v>
      </c>
      <c r="D1031">
        <v>5</v>
      </c>
      <c r="E1031">
        <v>13.06</v>
      </c>
      <c r="F1031" t="str">
        <f t="shared" si="32"/>
        <v>2024-07</v>
      </c>
      <c r="G1031">
        <f t="shared" si="33"/>
        <v>65.3</v>
      </c>
      <c r="H1031" s="2">
        <v>45504.857630524908</v>
      </c>
      <c r="I1031" t="s">
        <v>34</v>
      </c>
      <c r="J1031" t="s">
        <v>2105</v>
      </c>
    </row>
    <row r="1032" spans="1:10" x14ac:dyDescent="0.3">
      <c r="A1032" t="s">
        <v>2106</v>
      </c>
      <c r="B1032" t="s">
        <v>27</v>
      </c>
      <c r="C1032" t="s">
        <v>28</v>
      </c>
      <c r="D1032">
        <v>2</v>
      </c>
      <c r="E1032">
        <v>53.03</v>
      </c>
      <c r="F1032" t="str">
        <f t="shared" si="32"/>
        <v>2024-10</v>
      </c>
      <c r="G1032">
        <f t="shared" si="33"/>
        <v>106.06</v>
      </c>
      <c r="H1032" s="2">
        <v>45583.857630524908</v>
      </c>
      <c r="I1032" t="s">
        <v>34</v>
      </c>
      <c r="J1032" t="s">
        <v>2107</v>
      </c>
    </row>
    <row r="1033" spans="1:10" x14ac:dyDescent="0.3">
      <c r="A1033" t="s">
        <v>2108</v>
      </c>
      <c r="B1033" t="s">
        <v>18</v>
      </c>
      <c r="C1033" t="s">
        <v>29</v>
      </c>
      <c r="D1033">
        <v>2</v>
      </c>
      <c r="E1033">
        <v>59.38</v>
      </c>
      <c r="F1033" t="str">
        <f t="shared" si="32"/>
        <v>2024-08</v>
      </c>
      <c r="G1033">
        <f t="shared" si="33"/>
        <v>118.76</v>
      </c>
      <c r="H1033" s="2">
        <v>45515.857630524908</v>
      </c>
      <c r="I1033" t="s">
        <v>31</v>
      </c>
      <c r="J1033" t="s">
        <v>2109</v>
      </c>
    </row>
    <row r="1034" spans="1:10" x14ac:dyDescent="0.3">
      <c r="A1034" t="s">
        <v>2110</v>
      </c>
      <c r="B1034" t="s">
        <v>18</v>
      </c>
      <c r="C1034" t="s">
        <v>29</v>
      </c>
      <c r="D1034">
        <v>5</v>
      </c>
      <c r="E1034">
        <v>20.059999999999999</v>
      </c>
      <c r="F1034" t="str">
        <f t="shared" si="32"/>
        <v>2024-10</v>
      </c>
      <c r="G1034">
        <f t="shared" si="33"/>
        <v>100.3</v>
      </c>
      <c r="H1034" s="2">
        <v>45583.857630524908</v>
      </c>
      <c r="I1034" t="s">
        <v>33</v>
      </c>
      <c r="J1034" t="s">
        <v>2111</v>
      </c>
    </row>
    <row r="1035" spans="1:10" x14ac:dyDescent="0.3">
      <c r="A1035" t="s">
        <v>2112</v>
      </c>
      <c r="B1035" t="s">
        <v>16</v>
      </c>
      <c r="C1035" t="s">
        <v>29</v>
      </c>
      <c r="D1035">
        <v>4</v>
      </c>
      <c r="E1035">
        <v>46.08</v>
      </c>
      <c r="F1035" t="str">
        <f t="shared" si="32"/>
        <v>2024-08</v>
      </c>
      <c r="G1035">
        <f t="shared" si="33"/>
        <v>184.32</v>
      </c>
      <c r="H1035" s="2">
        <v>45505.857630524908</v>
      </c>
      <c r="I1035" t="s">
        <v>35</v>
      </c>
      <c r="J1035" t="s">
        <v>2113</v>
      </c>
    </row>
    <row r="1036" spans="1:10" x14ac:dyDescent="0.3">
      <c r="A1036" t="s">
        <v>2114</v>
      </c>
      <c r="B1036" t="s">
        <v>16</v>
      </c>
      <c r="C1036" t="s">
        <v>29</v>
      </c>
      <c r="D1036">
        <v>1</v>
      </c>
      <c r="E1036">
        <v>44.92</v>
      </c>
      <c r="F1036" t="str">
        <f t="shared" si="32"/>
        <v>2024-08</v>
      </c>
      <c r="G1036">
        <f t="shared" si="33"/>
        <v>44.92</v>
      </c>
      <c r="H1036" s="2">
        <v>45510.857630524908</v>
      </c>
      <c r="I1036" t="s">
        <v>33</v>
      </c>
      <c r="J1036" t="s">
        <v>2115</v>
      </c>
    </row>
    <row r="1037" spans="1:10" x14ac:dyDescent="0.3">
      <c r="A1037" t="s">
        <v>2116</v>
      </c>
      <c r="B1037" t="s">
        <v>16</v>
      </c>
      <c r="C1037" t="s">
        <v>29</v>
      </c>
      <c r="D1037">
        <v>5</v>
      </c>
      <c r="E1037">
        <v>49.58</v>
      </c>
      <c r="F1037" t="str">
        <f t="shared" si="32"/>
        <v>2024-08</v>
      </c>
      <c r="G1037">
        <f t="shared" si="33"/>
        <v>247.89999999999998</v>
      </c>
      <c r="H1037" s="2">
        <v>45521.857630524908</v>
      </c>
      <c r="I1037" t="s">
        <v>31</v>
      </c>
      <c r="J1037" t="s">
        <v>2117</v>
      </c>
    </row>
    <row r="1038" spans="1:10" x14ac:dyDescent="0.3">
      <c r="A1038" t="s">
        <v>2118</v>
      </c>
      <c r="B1038" t="s">
        <v>22</v>
      </c>
      <c r="C1038" t="s">
        <v>30</v>
      </c>
      <c r="D1038">
        <v>1</v>
      </c>
      <c r="E1038">
        <v>18.03</v>
      </c>
      <c r="F1038" t="str">
        <f t="shared" si="32"/>
        <v>2025-01</v>
      </c>
      <c r="G1038">
        <f t="shared" si="33"/>
        <v>18.03</v>
      </c>
      <c r="H1038" s="2">
        <v>45666.857630524908</v>
      </c>
      <c r="I1038" t="s">
        <v>31</v>
      </c>
      <c r="J1038" t="s">
        <v>2119</v>
      </c>
    </row>
    <row r="1039" spans="1:10" x14ac:dyDescent="0.3">
      <c r="A1039" t="s">
        <v>2120</v>
      </c>
      <c r="B1039" t="s">
        <v>23</v>
      </c>
      <c r="C1039" t="s">
        <v>28</v>
      </c>
      <c r="D1039">
        <v>4</v>
      </c>
      <c r="E1039">
        <v>12.93</v>
      </c>
      <c r="F1039" t="str">
        <f t="shared" si="32"/>
        <v>2024-05</v>
      </c>
      <c r="G1039">
        <f t="shared" si="33"/>
        <v>51.72</v>
      </c>
      <c r="H1039" s="2">
        <v>45434.857630524908</v>
      </c>
      <c r="I1039" t="s">
        <v>34</v>
      </c>
      <c r="J1039" t="s">
        <v>2121</v>
      </c>
    </row>
    <row r="1040" spans="1:10" x14ac:dyDescent="0.3">
      <c r="A1040" t="s">
        <v>2122</v>
      </c>
      <c r="B1040" t="s">
        <v>16</v>
      </c>
      <c r="C1040" t="s">
        <v>29</v>
      </c>
      <c r="D1040">
        <v>2</v>
      </c>
      <c r="E1040">
        <v>19.66</v>
      </c>
      <c r="F1040" t="str">
        <f t="shared" si="32"/>
        <v>2025-02</v>
      </c>
      <c r="G1040">
        <f t="shared" si="33"/>
        <v>39.32</v>
      </c>
      <c r="H1040" s="2">
        <v>45707.857630524908</v>
      </c>
      <c r="I1040" t="s">
        <v>34</v>
      </c>
      <c r="J1040" t="s">
        <v>2123</v>
      </c>
    </row>
    <row r="1041" spans="1:10" x14ac:dyDescent="0.3">
      <c r="A1041" t="s">
        <v>2124</v>
      </c>
      <c r="B1041" t="s">
        <v>17</v>
      </c>
      <c r="C1041" t="s">
        <v>29</v>
      </c>
      <c r="D1041">
        <v>2</v>
      </c>
      <c r="E1041">
        <v>48.52</v>
      </c>
      <c r="F1041" t="str">
        <f t="shared" si="32"/>
        <v>2024-06</v>
      </c>
      <c r="G1041">
        <f t="shared" si="33"/>
        <v>97.04</v>
      </c>
      <c r="H1041" s="2">
        <v>45453.857630524908</v>
      </c>
      <c r="I1041" t="s">
        <v>35</v>
      </c>
      <c r="J1041" t="s">
        <v>2125</v>
      </c>
    </row>
    <row r="1042" spans="1:10" x14ac:dyDescent="0.3">
      <c r="A1042" t="s">
        <v>2126</v>
      </c>
      <c r="B1042" t="s">
        <v>21</v>
      </c>
      <c r="C1042" t="s">
        <v>30</v>
      </c>
      <c r="D1042">
        <v>1</v>
      </c>
      <c r="E1042">
        <v>48.69</v>
      </c>
      <c r="F1042" t="str">
        <f t="shared" si="32"/>
        <v>2024-07</v>
      </c>
      <c r="G1042">
        <f t="shared" si="33"/>
        <v>48.69</v>
      </c>
      <c r="H1042" s="2">
        <v>45483.857630524908</v>
      </c>
      <c r="I1042" t="s">
        <v>31</v>
      </c>
      <c r="J1042" t="s">
        <v>2127</v>
      </c>
    </row>
    <row r="1043" spans="1:10" x14ac:dyDescent="0.3">
      <c r="A1043" t="s">
        <v>2128</v>
      </c>
      <c r="B1043" t="s">
        <v>23</v>
      </c>
      <c r="C1043" t="s">
        <v>28</v>
      </c>
      <c r="D1043">
        <v>4</v>
      </c>
      <c r="E1043">
        <v>31.45</v>
      </c>
      <c r="F1043" t="str">
        <f t="shared" si="32"/>
        <v>2024-12</v>
      </c>
      <c r="G1043">
        <f t="shared" si="33"/>
        <v>125.8</v>
      </c>
      <c r="H1043" s="2">
        <v>45656.857630524908</v>
      </c>
      <c r="I1043" t="s">
        <v>32</v>
      </c>
      <c r="J1043" t="s">
        <v>2129</v>
      </c>
    </row>
    <row r="1044" spans="1:10" x14ac:dyDescent="0.3">
      <c r="A1044" t="s">
        <v>2130</v>
      </c>
      <c r="B1044" t="s">
        <v>17</v>
      </c>
      <c r="C1044" t="s">
        <v>29</v>
      </c>
      <c r="D1044">
        <v>2</v>
      </c>
      <c r="E1044">
        <v>37.58</v>
      </c>
      <c r="F1044" t="str">
        <f t="shared" si="32"/>
        <v>2024-11</v>
      </c>
      <c r="G1044">
        <f t="shared" si="33"/>
        <v>75.16</v>
      </c>
      <c r="H1044" s="2">
        <v>45625.857630524908</v>
      </c>
      <c r="I1044" t="s">
        <v>34</v>
      </c>
      <c r="J1044" t="s">
        <v>2131</v>
      </c>
    </row>
    <row r="1045" spans="1:10" x14ac:dyDescent="0.3">
      <c r="A1045" t="s">
        <v>2132</v>
      </c>
      <c r="B1045" t="s">
        <v>18</v>
      </c>
      <c r="C1045" t="s">
        <v>29</v>
      </c>
      <c r="D1045">
        <v>2</v>
      </c>
      <c r="E1045">
        <v>54.09</v>
      </c>
      <c r="F1045" t="str">
        <f t="shared" si="32"/>
        <v>2025-03</v>
      </c>
      <c r="G1045">
        <f t="shared" si="33"/>
        <v>108.18</v>
      </c>
      <c r="H1045" s="2">
        <v>45729.857630524908</v>
      </c>
      <c r="I1045" t="s">
        <v>33</v>
      </c>
      <c r="J1045" t="s">
        <v>2133</v>
      </c>
    </row>
    <row r="1046" spans="1:10" x14ac:dyDescent="0.3">
      <c r="A1046" t="s">
        <v>2134</v>
      </c>
      <c r="B1046" t="s">
        <v>23</v>
      </c>
      <c r="C1046" t="s">
        <v>28</v>
      </c>
      <c r="D1046">
        <v>4</v>
      </c>
      <c r="E1046">
        <v>57.18</v>
      </c>
      <c r="F1046" t="str">
        <f t="shared" si="32"/>
        <v>2024-05</v>
      </c>
      <c r="G1046">
        <f t="shared" si="33"/>
        <v>228.72</v>
      </c>
      <c r="H1046" s="2">
        <v>45415.857630524908</v>
      </c>
      <c r="I1046" t="s">
        <v>34</v>
      </c>
      <c r="J1046" t="s">
        <v>2135</v>
      </c>
    </row>
    <row r="1047" spans="1:10" x14ac:dyDescent="0.3">
      <c r="A1047" t="s">
        <v>2136</v>
      </c>
      <c r="B1047" t="s">
        <v>17</v>
      </c>
      <c r="C1047" t="s">
        <v>29</v>
      </c>
      <c r="D1047">
        <v>4</v>
      </c>
      <c r="E1047">
        <v>50.99</v>
      </c>
      <c r="F1047" t="str">
        <f t="shared" si="32"/>
        <v>2024-12</v>
      </c>
      <c r="G1047">
        <f t="shared" si="33"/>
        <v>203.96</v>
      </c>
      <c r="H1047" s="2">
        <v>45633.857630524908</v>
      </c>
      <c r="I1047" t="s">
        <v>35</v>
      </c>
      <c r="J1047" t="s">
        <v>2137</v>
      </c>
    </row>
    <row r="1048" spans="1:10" x14ac:dyDescent="0.3">
      <c r="A1048" t="s">
        <v>2138</v>
      </c>
      <c r="B1048" t="s">
        <v>18</v>
      </c>
      <c r="C1048" t="s">
        <v>29</v>
      </c>
      <c r="D1048">
        <v>1</v>
      </c>
      <c r="E1048">
        <v>28.31</v>
      </c>
      <c r="F1048" t="str">
        <f t="shared" si="32"/>
        <v>2024-06</v>
      </c>
      <c r="G1048">
        <f t="shared" si="33"/>
        <v>28.31</v>
      </c>
      <c r="H1048" s="2">
        <v>45466.857630524908</v>
      </c>
      <c r="I1048" t="s">
        <v>31</v>
      </c>
      <c r="J1048" t="s">
        <v>2139</v>
      </c>
    </row>
    <row r="1049" spans="1:10" x14ac:dyDescent="0.3">
      <c r="A1049" t="s">
        <v>2140</v>
      </c>
      <c r="B1049" t="s">
        <v>18</v>
      </c>
      <c r="C1049" t="s">
        <v>29</v>
      </c>
      <c r="D1049">
        <v>2</v>
      </c>
      <c r="E1049">
        <v>28.68</v>
      </c>
      <c r="F1049" t="str">
        <f t="shared" si="32"/>
        <v>2025-01</v>
      </c>
      <c r="G1049">
        <f t="shared" si="33"/>
        <v>57.36</v>
      </c>
      <c r="H1049" s="2">
        <v>45658.857630524908</v>
      </c>
      <c r="I1049" t="s">
        <v>34</v>
      </c>
      <c r="J1049" t="s">
        <v>2141</v>
      </c>
    </row>
    <row r="1050" spans="1:10" x14ac:dyDescent="0.3">
      <c r="A1050" t="s">
        <v>2142</v>
      </c>
      <c r="B1050" t="s">
        <v>21</v>
      </c>
      <c r="C1050" t="s">
        <v>30</v>
      </c>
      <c r="D1050">
        <v>2</v>
      </c>
      <c r="E1050">
        <v>35.409999999999997</v>
      </c>
      <c r="F1050" t="str">
        <f t="shared" si="32"/>
        <v>2024-04</v>
      </c>
      <c r="G1050">
        <f t="shared" si="33"/>
        <v>70.819999999999993</v>
      </c>
      <c r="H1050" s="2">
        <v>45398.857630524908</v>
      </c>
      <c r="I1050" t="s">
        <v>35</v>
      </c>
      <c r="J1050" t="s">
        <v>2143</v>
      </c>
    </row>
    <row r="1051" spans="1:10" x14ac:dyDescent="0.3">
      <c r="A1051" t="s">
        <v>2144</v>
      </c>
      <c r="B1051" t="s">
        <v>21</v>
      </c>
      <c r="C1051" t="s">
        <v>30</v>
      </c>
      <c r="D1051">
        <v>1</v>
      </c>
      <c r="E1051">
        <v>30.59</v>
      </c>
      <c r="F1051" t="str">
        <f t="shared" si="32"/>
        <v>2025-01</v>
      </c>
      <c r="G1051">
        <f t="shared" si="33"/>
        <v>30.59</v>
      </c>
      <c r="H1051" s="2">
        <v>45665.857630524908</v>
      </c>
      <c r="I1051" t="s">
        <v>31</v>
      </c>
      <c r="J1051" t="s">
        <v>2145</v>
      </c>
    </row>
    <row r="1052" spans="1:10" x14ac:dyDescent="0.3">
      <c r="A1052" t="s">
        <v>2146</v>
      </c>
      <c r="B1052" t="s">
        <v>18</v>
      </c>
      <c r="C1052" t="s">
        <v>29</v>
      </c>
      <c r="D1052">
        <v>3</v>
      </c>
      <c r="E1052">
        <v>49.38</v>
      </c>
      <c r="F1052" t="str">
        <f t="shared" si="32"/>
        <v>2025-02</v>
      </c>
      <c r="G1052">
        <f t="shared" si="33"/>
        <v>148.14000000000001</v>
      </c>
      <c r="H1052" s="2">
        <v>45697.857630524908</v>
      </c>
      <c r="I1052" t="s">
        <v>33</v>
      </c>
      <c r="J1052" t="s">
        <v>2147</v>
      </c>
    </row>
    <row r="1053" spans="1:10" x14ac:dyDescent="0.3">
      <c r="A1053" t="s">
        <v>2148</v>
      </c>
      <c r="B1053" t="s">
        <v>16</v>
      </c>
      <c r="C1053" t="s">
        <v>29</v>
      </c>
      <c r="D1053">
        <v>1</v>
      </c>
      <c r="E1053">
        <v>41.39</v>
      </c>
      <c r="F1053" t="str">
        <f t="shared" si="32"/>
        <v>2025-01</v>
      </c>
      <c r="G1053">
        <f t="shared" si="33"/>
        <v>41.39</v>
      </c>
      <c r="H1053" s="2">
        <v>45683.857630524908</v>
      </c>
      <c r="I1053" t="s">
        <v>33</v>
      </c>
      <c r="J1053" t="s">
        <v>2149</v>
      </c>
    </row>
    <row r="1054" spans="1:10" x14ac:dyDescent="0.3">
      <c r="A1054" t="s">
        <v>2150</v>
      </c>
      <c r="B1054" t="s">
        <v>22</v>
      </c>
      <c r="C1054" t="s">
        <v>30</v>
      </c>
      <c r="D1054">
        <v>4</v>
      </c>
      <c r="E1054">
        <v>12.22</v>
      </c>
      <c r="F1054" t="str">
        <f t="shared" si="32"/>
        <v>2024-11</v>
      </c>
      <c r="G1054">
        <f t="shared" si="33"/>
        <v>48.88</v>
      </c>
      <c r="H1054" s="2">
        <v>45621.857630524908</v>
      </c>
      <c r="I1054" t="s">
        <v>31</v>
      </c>
      <c r="J1054" t="s">
        <v>2151</v>
      </c>
    </row>
    <row r="1055" spans="1:10" x14ac:dyDescent="0.3">
      <c r="A1055" t="s">
        <v>2152</v>
      </c>
      <c r="B1055" t="s">
        <v>22</v>
      </c>
      <c r="C1055" t="s">
        <v>30</v>
      </c>
      <c r="D1055">
        <v>3</v>
      </c>
      <c r="E1055">
        <v>39.71</v>
      </c>
      <c r="F1055" t="str">
        <f t="shared" si="32"/>
        <v>2024-10</v>
      </c>
      <c r="G1055">
        <f t="shared" si="33"/>
        <v>119.13</v>
      </c>
      <c r="H1055" s="2">
        <v>45589.857630524908</v>
      </c>
      <c r="I1055" t="s">
        <v>33</v>
      </c>
      <c r="J1055" t="s">
        <v>2153</v>
      </c>
    </row>
    <row r="1056" spans="1:10" x14ac:dyDescent="0.3">
      <c r="A1056" t="s">
        <v>2154</v>
      </c>
      <c r="B1056" t="s">
        <v>20</v>
      </c>
      <c r="C1056" t="s">
        <v>30</v>
      </c>
      <c r="D1056">
        <v>5</v>
      </c>
      <c r="E1056">
        <v>27.92</v>
      </c>
      <c r="F1056" t="str">
        <f t="shared" si="32"/>
        <v>2025-02</v>
      </c>
      <c r="G1056">
        <f t="shared" si="33"/>
        <v>139.60000000000002</v>
      </c>
      <c r="H1056" s="2">
        <v>45692.857630524908</v>
      </c>
      <c r="I1056" t="s">
        <v>31</v>
      </c>
      <c r="J1056" t="s">
        <v>2155</v>
      </c>
    </row>
    <row r="1057" spans="1:10" x14ac:dyDescent="0.3">
      <c r="A1057" t="s">
        <v>2156</v>
      </c>
      <c r="B1057" t="s">
        <v>21</v>
      </c>
      <c r="C1057" t="s">
        <v>30</v>
      </c>
      <c r="D1057">
        <v>3</v>
      </c>
      <c r="E1057">
        <v>23.79</v>
      </c>
      <c r="F1057" t="str">
        <f t="shared" si="32"/>
        <v>2024-11</v>
      </c>
      <c r="G1057">
        <f t="shared" si="33"/>
        <v>71.37</v>
      </c>
      <c r="H1057" s="2">
        <v>45617.857630524908</v>
      </c>
      <c r="I1057" t="s">
        <v>35</v>
      </c>
      <c r="J1057" t="s">
        <v>2157</v>
      </c>
    </row>
    <row r="1058" spans="1:10" x14ac:dyDescent="0.3">
      <c r="A1058" t="s">
        <v>2158</v>
      </c>
      <c r="B1058" t="s">
        <v>23</v>
      </c>
      <c r="C1058" t="s">
        <v>28</v>
      </c>
      <c r="D1058">
        <v>2</v>
      </c>
      <c r="E1058">
        <v>38.64</v>
      </c>
      <c r="F1058" t="str">
        <f t="shared" si="32"/>
        <v>2025-02</v>
      </c>
      <c r="G1058">
        <f t="shared" si="33"/>
        <v>77.28</v>
      </c>
      <c r="H1058" s="2">
        <v>45703.857630524908</v>
      </c>
      <c r="I1058" t="s">
        <v>34</v>
      </c>
      <c r="J1058" t="s">
        <v>2159</v>
      </c>
    </row>
    <row r="1059" spans="1:10" x14ac:dyDescent="0.3">
      <c r="A1059" t="s">
        <v>2160</v>
      </c>
      <c r="B1059" t="s">
        <v>25</v>
      </c>
      <c r="C1059" t="s">
        <v>30</v>
      </c>
      <c r="D1059">
        <v>1</v>
      </c>
      <c r="E1059">
        <v>31.79</v>
      </c>
      <c r="F1059" t="str">
        <f t="shared" si="32"/>
        <v>2024-10</v>
      </c>
      <c r="G1059">
        <f t="shared" si="33"/>
        <v>31.79</v>
      </c>
      <c r="H1059" s="2">
        <v>45587.857630524908</v>
      </c>
      <c r="I1059" t="s">
        <v>33</v>
      </c>
      <c r="J1059" t="s">
        <v>2161</v>
      </c>
    </row>
    <row r="1060" spans="1:10" x14ac:dyDescent="0.3">
      <c r="A1060" t="s">
        <v>2162</v>
      </c>
      <c r="B1060" t="s">
        <v>20</v>
      </c>
      <c r="C1060" t="s">
        <v>30</v>
      </c>
      <c r="D1060">
        <v>3</v>
      </c>
      <c r="E1060">
        <v>47.49</v>
      </c>
      <c r="F1060" t="str">
        <f t="shared" si="32"/>
        <v>2024-07</v>
      </c>
      <c r="G1060">
        <f t="shared" si="33"/>
        <v>142.47</v>
      </c>
      <c r="H1060" s="2">
        <v>45479.857630524908</v>
      </c>
      <c r="I1060" t="s">
        <v>33</v>
      </c>
      <c r="J1060" t="s">
        <v>2163</v>
      </c>
    </row>
    <row r="1061" spans="1:10" x14ac:dyDescent="0.3">
      <c r="A1061" t="s">
        <v>2164</v>
      </c>
      <c r="B1061" t="s">
        <v>20</v>
      </c>
      <c r="C1061" t="s">
        <v>30</v>
      </c>
      <c r="D1061">
        <v>4</v>
      </c>
      <c r="E1061">
        <v>25.49</v>
      </c>
      <c r="F1061" t="str">
        <f t="shared" si="32"/>
        <v>2025-02</v>
      </c>
      <c r="G1061">
        <f t="shared" si="33"/>
        <v>101.96</v>
      </c>
      <c r="H1061" s="2">
        <v>45697.857630524908</v>
      </c>
      <c r="I1061" t="s">
        <v>31</v>
      </c>
      <c r="J1061" t="s">
        <v>2165</v>
      </c>
    </row>
    <row r="1062" spans="1:10" x14ac:dyDescent="0.3">
      <c r="A1062" t="s">
        <v>2166</v>
      </c>
      <c r="B1062" t="s">
        <v>26</v>
      </c>
      <c r="C1062" t="s">
        <v>28</v>
      </c>
      <c r="D1062">
        <v>3</v>
      </c>
      <c r="E1062">
        <v>54.92</v>
      </c>
      <c r="F1062" t="str">
        <f t="shared" si="32"/>
        <v>2024-08</v>
      </c>
      <c r="G1062">
        <f t="shared" si="33"/>
        <v>164.76</v>
      </c>
      <c r="H1062" s="2">
        <v>45514.857630524908</v>
      </c>
      <c r="I1062" t="s">
        <v>31</v>
      </c>
      <c r="J1062" t="s">
        <v>2167</v>
      </c>
    </row>
    <row r="1063" spans="1:10" x14ac:dyDescent="0.3">
      <c r="A1063" t="s">
        <v>2168</v>
      </c>
      <c r="B1063" t="s">
        <v>19</v>
      </c>
      <c r="C1063" t="s">
        <v>28</v>
      </c>
      <c r="D1063">
        <v>1</v>
      </c>
      <c r="E1063">
        <v>29.28</v>
      </c>
      <c r="F1063" t="str">
        <f t="shared" si="32"/>
        <v>2024-06</v>
      </c>
      <c r="G1063">
        <f t="shared" si="33"/>
        <v>29.28</v>
      </c>
      <c r="H1063" s="2">
        <v>45459.857630524908</v>
      </c>
      <c r="I1063" t="s">
        <v>34</v>
      </c>
      <c r="J1063" t="s">
        <v>2169</v>
      </c>
    </row>
    <row r="1064" spans="1:10" x14ac:dyDescent="0.3">
      <c r="A1064" t="s">
        <v>2170</v>
      </c>
      <c r="B1064" t="s">
        <v>18</v>
      </c>
      <c r="C1064" t="s">
        <v>29</v>
      </c>
      <c r="D1064">
        <v>4</v>
      </c>
      <c r="E1064">
        <v>31.99</v>
      </c>
      <c r="F1064" t="str">
        <f t="shared" si="32"/>
        <v>2024-12</v>
      </c>
      <c r="G1064">
        <f t="shared" si="33"/>
        <v>127.96</v>
      </c>
      <c r="H1064" s="2">
        <v>45631.857630524908</v>
      </c>
      <c r="I1064" t="s">
        <v>32</v>
      </c>
      <c r="J1064" t="s">
        <v>2171</v>
      </c>
    </row>
    <row r="1065" spans="1:10" x14ac:dyDescent="0.3">
      <c r="A1065" t="s">
        <v>2172</v>
      </c>
      <c r="B1065" t="s">
        <v>24</v>
      </c>
      <c r="C1065" t="s">
        <v>28</v>
      </c>
      <c r="D1065">
        <v>4</v>
      </c>
      <c r="E1065">
        <v>21.2</v>
      </c>
      <c r="F1065" t="str">
        <f t="shared" si="32"/>
        <v>2024-09</v>
      </c>
      <c r="G1065">
        <f t="shared" si="33"/>
        <v>84.8</v>
      </c>
      <c r="H1065" s="2">
        <v>45557.857630524908</v>
      </c>
      <c r="I1065" t="s">
        <v>33</v>
      </c>
      <c r="J1065" t="s">
        <v>2173</v>
      </c>
    </row>
    <row r="1066" spans="1:10" x14ac:dyDescent="0.3">
      <c r="A1066" t="s">
        <v>2174</v>
      </c>
      <c r="B1066" t="s">
        <v>17</v>
      </c>
      <c r="C1066" t="s">
        <v>29</v>
      </c>
      <c r="D1066">
        <v>5</v>
      </c>
      <c r="E1066">
        <v>50.02</v>
      </c>
      <c r="F1066" t="str">
        <f t="shared" si="32"/>
        <v>2025-03</v>
      </c>
      <c r="G1066">
        <f t="shared" si="33"/>
        <v>250.10000000000002</v>
      </c>
      <c r="H1066" s="2">
        <v>45739.857630524908</v>
      </c>
      <c r="I1066" t="s">
        <v>31</v>
      </c>
      <c r="J1066" t="s">
        <v>2175</v>
      </c>
    </row>
    <row r="1067" spans="1:10" x14ac:dyDescent="0.3">
      <c r="A1067" t="s">
        <v>2176</v>
      </c>
      <c r="B1067" t="s">
        <v>18</v>
      </c>
      <c r="C1067" t="s">
        <v>29</v>
      </c>
      <c r="D1067">
        <v>5</v>
      </c>
      <c r="E1067">
        <v>40.39</v>
      </c>
      <c r="F1067" t="str">
        <f t="shared" si="32"/>
        <v>2024-11</v>
      </c>
      <c r="G1067">
        <f t="shared" si="33"/>
        <v>201.95</v>
      </c>
      <c r="H1067" s="2">
        <v>45613.857630524908</v>
      </c>
      <c r="I1067" t="s">
        <v>34</v>
      </c>
      <c r="J1067" t="s">
        <v>2177</v>
      </c>
    </row>
    <row r="1068" spans="1:10" x14ac:dyDescent="0.3">
      <c r="A1068" t="s">
        <v>2178</v>
      </c>
      <c r="B1068" t="s">
        <v>21</v>
      </c>
      <c r="C1068" t="s">
        <v>30</v>
      </c>
      <c r="D1068">
        <v>3</v>
      </c>
      <c r="E1068">
        <v>38.22</v>
      </c>
      <c r="F1068" t="str">
        <f t="shared" si="32"/>
        <v>2024-05</v>
      </c>
      <c r="G1068">
        <f t="shared" si="33"/>
        <v>114.66</v>
      </c>
      <c r="H1068" s="2">
        <v>45417.857630524908</v>
      </c>
      <c r="I1068" t="s">
        <v>32</v>
      </c>
      <c r="J1068" t="s">
        <v>2179</v>
      </c>
    </row>
    <row r="1069" spans="1:10" x14ac:dyDescent="0.3">
      <c r="A1069" t="s">
        <v>2180</v>
      </c>
      <c r="B1069" t="s">
        <v>24</v>
      </c>
      <c r="C1069" t="s">
        <v>28</v>
      </c>
      <c r="D1069">
        <v>3</v>
      </c>
      <c r="E1069">
        <v>21.03</v>
      </c>
      <c r="F1069" t="str">
        <f t="shared" si="32"/>
        <v>2025-01</v>
      </c>
      <c r="G1069">
        <f t="shared" si="33"/>
        <v>63.09</v>
      </c>
      <c r="H1069" s="2">
        <v>45688.857630524908</v>
      </c>
      <c r="I1069" t="s">
        <v>31</v>
      </c>
      <c r="J1069" t="s">
        <v>2181</v>
      </c>
    </row>
    <row r="1070" spans="1:10" x14ac:dyDescent="0.3">
      <c r="A1070" t="s">
        <v>2182</v>
      </c>
      <c r="B1070" t="s">
        <v>23</v>
      </c>
      <c r="C1070" t="s">
        <v>28</v>
      </c>
      <c r="D1070">
        <v>5</v>
      </c>
      <c r="E1070">
        <v>16.96</v>
      </c>
      <c r="F1070" t="str">
        <f t="shared" si="32"/>
        <v>2025-01</v>
      </c>
      <c r="G1070">
        <f t="shared" si="33"/>
        <v>84.800000000000011</v>
      </c>
      <c r="H1070" s="2">
        <v>45672.857630524908</v>
      </c>
      <c r="I1070" t="s">
        <v>34</v>
      </c>
      <c r="J1070" t="s">
        <v>2183</v>
      </c>
    </row>
    <row r="1071" spans="1:10" x14ac:dyDescent="0.3">
      <c r="A1071" t="s">
        <v>2184</v>
      </c>
      <c r="B1071" t="s">
        <v>27</v>
      </c>
      <c r="C1071" t="s">
        <v>28</v>
      </c>
      <c r="D1071">
        <v>3</v>
      </c>
      <c r="E1071">
        <v>15.83</v>
      </c>
      <c r="F1071" t="str">
        <f t="shared" si="32"/>
        <v>2024-08</v>
      </c>
      <c r="G1071">
        <f t="shared" si="33"/>
        <v>47.49</v>
      </c>
      <c r="H1071" s="2">
        <v>45534.857630524908</v>
      </c>
      <c r="I1071" t="s">
        <v>34</v>
      </c>
      <c r="J1071" t="s">
        <v>2185</v>
      </c>
    </row>
    <row r="1072" spans="1:10" x14ac:dyDescent="0.3">
      <c r="A1072" t="s">
        <v>2186</v>
      </c>
      <c r="B1072" t="s">
        <v>24</v>
      </c>
      <c r="C1072" t="s">
        <v>28</v>
      </c>
      <c r="D1072">
        <v>4</v>
      </c>
      <c r="E1072">
        <v>13.63</v>
      </c>
      <c r="F1072" t="str">
        <f t="shared" si="32"/>
        <v>2024-06</v>
      </c>
      <c r="G1072">
        <f t="shared" si="33"/>
        <v>54.52</v>
      </c>
      <c r="H1072" s="2">
        <v>45453.857630524908</v>
      </c>
      <c r="I1072" t="s">
        <v>31</v>
      </c>
      <c r="J1072" t="s">
        <v>2187</v>
      </c>
    </row>
    <row r="1073" spans="1:10" x14ac:dyDescent="0.3">
      <c r="A1073" t="s">
        <v>2188</v>
      </c>
      <c r="B1073" t="s">
        <v>22</v>
      </c>
      <c r="C1073" t="s">
        <v>30</v>
      </c>
      <c r="D1073">
        <v>2</v>
      </c>
      <c r="E1073">
        <v>16.8</v>
      </c>
      <c r="F1073" t="str">
        <f t="shared" si="32"/>
        <v>2024-12</v>
      </c>
      <c r="G1073">
        <f t="shared" si="33"/>
        <v>33.6</v>
      </c>
      <c r="H1073" s="2">
        <v>45636.857630524908</v>
      </c>
      <c r="I1073" t="s">
        <v>34</v>
      </c>
      <c r="J1073" t="s">
        <v>2189</v>
      </c>
    </row>
    <row r="1074" spans="1:10" x14ac:dyDescent="0.3">
      <c r="A1074" t="s">
        <v>2190</v>
      </c>
      <c r="B1074" t="s">
        <v>21</v>
      </c>
      <c r="C1074" t="s">
        <v>30</v>
      </c>
      <c r="D1074">
        <v>3</v>
      </c>
      <c r="E1074">
        <v>29.54</v>
      </c>
      <c r="F1074" t="str">
        <f t="shared" si="32"/>
        <v>2025-02</v>
      </c>
      <c r="G1074">
        <f t="shared" si="33"/>
        <v>88.62</v>
      </c>
      <c r="H1074" s="2">
        <v>45713.857630524908</v>
      </c>
      <c r="I1074" t="s">
        <v>31</v>
      </c>
      <c r="J1074" t="s">
        <v>2191</v>
      </c>
    </row>
    <row r="1075" spans="1:10" x14ac:dyDescent="0.3">
      <c r="A1075" t="s">
        <v>2192</v>
      </c>
      <c r="B1075" t="s">
        <v>16</v>
      </c>
      <c r="C1075" t="s">
        <v>29</v>
      </c>
      <c r="D1075">
        <v>1</v>
      </c>
      <c r="E1075">
        <v>45.04</v>
      </c>
      <c r="F1075" t="str">
        <f t="shared" si="32"/>
        <v>2024-11</v>
      </c>
      <c r="G1075">
        <f t="shared" si="33"/>
        <v>45.04</v>
      </c>
      <c r="H1075" s="2">
        <v>45607.857630524908</v>
      </c>
      <c r="I1075" t="s">
        <v>33</v>
      </c>
      <c r="J1075" t="s">
        <v>2193</v>
      </c>
    </row>
    <row r="1076" spans="1:10" x14ac:dyDescent="0.3">
      <c r="A1076" t="s">
        <v>2194</v>
      </c>
      <c r="B1076" t="s">
        <v>22</v>
      </c>
      <c r="C1076" t="s">
        <v>30</v>
      </c>
      <c r="D1076">
        <v>2</v>
      </c>
      <c r="E1076">
        <v>50.05</v>
      </c>
      <c r="F1076" t="str">
        <f t="shared" si="32"/>
        <v>2024-08</v>
      </c>
      <c r="G1076">
        <f t="shared" si="33"/>
        <v>100.1</v>
      </c>
      <c r="H1076" s="2">
        <v>45511.857630524908</v>
      </c>
      <c r="I1076" t="s">
        <v>33</v>
      </c>
      <c r="J1076" t="s">
        <v>2195</v>
      </c>
    </row>
    <row r="1077" spans="1:10" x14ac:dyDescent="0.3">
      <c r="A1077" t="s">
        <v>2196</v>
      </c>
      <c r="B1077" t="s">
        <v>22</v>
      </c>
      <c r="C1077" t="s">
        <v>30</v>
      </c>
      <c r="D1077">
        <v>1</v>
      </c>
      <c r="E1077">
        <v>48.15</v>
      </c>
      <c r="F1077" t="str">
        <f t="shared" si="32"/>
        <v>2024-06</v>
      </c>
      <c r="G1077">
        <f t="shared" si="33"/>
        <v>48.15</v>
      </c>
      <c r="H1077" s="2">
        <v>45455.857630524908</v>
      </c>
      <c r="I1077" t="s">
        <v>35</v>
      </c>
      <c r="J1077" t="s">
        <v>2197</v>
      </c>
    </row>
    <row r="1078" spans="1:10" x14ac:dyDescent="0.3">
      <c r="A1078" t="s">
        <v>2198</v>
      </c>
      <c r="B1078" t="s">
        <v>22</v>
      </c>
      <c r="C1078" t="s">
        <v>30</v>
      </c>
      <c r="D1078">
        <v>2</v>
      </c>
      <c r="E1078">
        <v>10.48</v>
      </c>
      <c r="F1078" t="str">
        <f t="shared" si="32"/>
        <v>2024-08</v>
      </c>
      <c r="G1078">
        <f t="shared" si="33"/>
        <v>20.96</v>
      </c>
      <c r="H1078" s="2">
        <v>45516.857630524908</v>
      </c>
      <c r="I1078" t="s">
        <v>31</v>
      </c>
      <c r="J1078" t="s">
        <v>2199</v>
      </c>
    </row>
    <row r="1079" spans="1:10" x14ac:dyDescent="0.3">
      <c r="A1079" t="s">
        <v>2200</v>
      </c>
      <c r="B1079" t="s">
        <v>21</v>
      </c>
      <c r="C1079" t="s">
        <v>30</v>
      </c>
      <c r="D1079">
        <v>2</v>
      </c>
      <c r="E1079">
        <v>57.17</v>
      </c>
      <c r="F1079" t="str">
        <f t="shared" si="32"/>
        <v>2024-11</v>
      </c>
      <c r="G1079">
        <f t="shared" si="33"/>
        <v>114.34</v>
      </c>
      <c r="H1079" s="2">
        <v>45620.857630524908</v>
      </c>
      <c r="I1079" t="s">
        <v>32</v>
      </c>
      <c r="J1079" t="s">
        <v>2201</v>
      </c>
    </row>
    <row r="1080" spans="1:10" x14ac:dyDescent="0.3">
      <c r="A1080" t="s">
        <v>2202</v>
      </c>
      <c r="B1080" t="s">
        <v>16</v>
      </c>
      <c r="C1080" t="s">
        <v>29</v>
      </c>
      <c r="D1080">
        <v>5</v>
      </c>
      <c r="E1080">
        <v>21.54</v>
      </c>
      <c r="F1080" t="str">
        <f t="shared" si="32"/>
        <v>2025-02</v>
      </c>
      <c r="G1080">
        <f t="shared" si="33"/>
        <v>107.69999999999999</v>
      </c>
      <c r="H1080" s="2">
        <v>45699.857630524908</v>
      </c>
      <c r="I1080" t="s">
        <v>35</v>
      </c>
      <c r="J1080" t="s">
        <v>2203</v>
      </c>
    </row>
    <row r="1081" spans="1:10" x14ac:dyDescent="0.3">
      <c r="A1081" t="s">
        <v>2204</v>
      </c>
      <c r="B1081" t="s">
        <v>27</v>
      </c>
      <c r="C1081" t="s">
        <v>28</v>
      </c>
      <c r="D1081">
        <v>1</v>
      </c>
      <c r="E1081">
        <v>37.71</v>
      </c>
      <c r="F1081" t="str">
        <f t="shared" si="32"/>
        <v>2024-07</v>
      </c>
      <c r="G1081">
        <f t="shared" si="33"/>
        <v>37.71</v>
      </c>
      <c r="H1081" s="2">
        <v>45498.857630524908</v>
      </c>
      <c r="I1081" t="s">
        <v>32</v>
      </c>
      <c r="J1081" t="s">
        <v>2205</v>
      </c>
    </row>
    <row r="1082" spans="1:10" x14ac:dyDescent="0.3">
      <c r="A1082" t="s">
        <v>2206</v>
      </c>
      <c r="B1082" t="s">
        <v>21</v>
      </c>
      <c r="C1082" t="s">
        <v>30</v>
      </c>
      <c r="D1082">
        <v>5</v>
      </c>
      <c r="E1082">
        <v>35.28</v>
      </c>
      <c r="F1082" t="str">
        <f t="shared" si="32"/>
        <v>2024-11</v>
      </c>
      <c r="G1082">
        <f t="shared" si="33"/>
        <v>176.4</v>
      </c>
      <c r="H1082" s="2">
        <v>45620.857630524908</v>
      </c>
      <c r="I1082" t="s">
        <v>32</v>
      </c>
      <c r="J1082" t="s">
        <v>2207</v>
      </c>
    </row>
    <row r="1083" spans="1:10" x14ac:dyDescent="0.3">
      <c r="A1083" t="s">
        <v>2208</v>
      </c>
      <c r="B1083" t="s">
        <v>19</v>
      </c>
      <c r="C1083" t="s">
        <v>28</v>
      </c>
      <c r="D1083">
        <v>4</v>
      </c>
      <c r="E1083">
        <v>25.99</v>
      </c>
      <c r="F1083" t="str">
        <f t="shared" si="32"/>
        <v>2024-11</v>
      </c>
      <c r="G1083">
        <f t="shared" si="33"/>
        <v>103.96</v>
      </c>
      <c r="H1083" s="2">
        <v>45612.857630524908</v>
      </c>
      <c r="I1083" t="s">
        <v>33</v>
      </c>
      <c r="J1083" t="s">
        <v>2209</v>
      </c>
    </row>
    <row r="1084" spans="1:10" x14ac:dyDescent="0.3">
      <c r="A1084" t="s">
        <v>2210</v>
      </c>
      <c r="B1084" t="s">
        <v>21</v>
      </c>
      <c r="C1084" t="s">
        <v>30</v>
      </c>
      <c r="D1084">
        <v>4</v>
      </c>
      <c r="E1084">
        <v>27.15</v>
      </c>
      <c r="F1084" t="str">
        <f t="shared" si="32"/>
        <v>2024-04</v>
      </c>
      <c r="G1084">
        <f t="shared" si="33"/>
        <v>108.6</v>
      </c>
      <c r="H1084" s="2">
        <v>45395.857630524908</v>
      </c>
      <c r="I1084" t="s">
        <v>31</v>
      </c>
      <c r="J1084" t="s">
        <v>2211</v>
      </c>
    </row>
    <row r="1085" spans="1:10" x14ac:dyDescent="0.3">
      <c r="A1085" t="s">
        <v>2212</v>
      </c>
      <c r="B1085" t="s">
        <v>20</v>
      </c>
      <c r="C1085" t="s">
        <v>30</v>
      </c>
      <c r="D1085">
        <v>2</v>
      </c>
      <c r="E1085">
        <v>41.59</v>
      </c>
      <c r="F1085" t="str">
        <f t="shared" si="32"/>
        <v>2024-09</v>
      </c>
      <c r="G1085">
        <f t="shared" si="33"/>
        <v>83.18</v>
      </c>
      <c r="H1085" s="2">
        <v>45541.857630524908</v>
      </c>
      <c r="I1085" t="s">
        <v>33</v>
      </c>
      <c r="J1085" t="s">
        <v>2213</v>
      </c>
    </row>
    <row r="1086" spans="1:10" x14ac:dyDescent="0.3">
      <c r="A1086" t="s">
        <v>2214</v>
      </c>
      <c r="B1086" t="s">
        <v>17</v>
      </c>
      <c r="C1086" t="s">
        <v>29</v>
      </c>
      <c r="D1086">
        <v>4</v>
      </c>
      <c r="E1086">
        <v>29.12</v>
      </c>
      <c r="F1086" t="str">
        <f t="shared" si="32"/>
        <v>2024-04</v>
      </c>
      <c r="G1086">
        <f t="shared" si="33"/>
        <v>116.48</v>
      </c>
      <c r="H1086" s="2">
        <v>45406.857630524908</v>
      </c>
      <c r="I1086" t="s">
        <v>34</v>
      </c>
      <c r="J1086" t="s">
        <v>2215</v>
      </c>
    </row>
    <row r="1087" spans="1:10" x14ac:dyDescent="0.3">
      <c r="A1087" t="s">
        <v>2216</v>
      </c>
      <c r="B1087" t="s">
        <v>25</v>
      </c>
      <c r="C1087" t="s">
        <v>30</v>
      </c>
      <c r="D1087">
        <v>3</v>
      </c>
      <c r="E1087">
        <v>29.39</v>
      </c>
      <c r="F1087" t="str">
        <f t="shared" si="32"/>
        <v>2024-08</v>
      </c>
      <c r="G1087">
        <f t="shared" si="33"/>
        <v>88.17</v>
      </c>
      <c r="H1087" s="2">
        <v>45535.857630524908</v>
      </c>
      <c r="I1087" t="s">
        <v>31</v>
      </c>
      <c r="J1087" t="s">
        <v>2217</v>
      </c>
    </row>
    <row r="1088" spans="1:10" x14ac:dyDescent="0.3">
      <c r="A1088" t="s">
        <v>2218</v>
      </c>
      <c r="B1088" t="s">
        <v>22</v>
      </c>
      <c r="C1088" t="s">
        <v>30</v>
      </c>
      <c r="D1088">
        <v>5</v>
      </c>
      <c r="E1088">
        <v>30.65</v>
      </c>
      <c r="F1088" t="str">
        <f t="shared" si="32"/>
        <v>2025-01</v>
      </c>
      <c r="G1088">
        <f t="shared" si="33"/>
        <v>153.25</v>
      </c>
      <c r="H1088" s="2">
        <v>45658.857630524908</v>
      </c>
      <c r="I1088" t="s">
        <v>31</v>
      </c>
      <c r="J1088" t="s">
        <v>2219</v>
      </c>
    </row>
    <row r="1089" spans="1:10" x14ac:dyDescent="0.3">
      <c r="A1089" t="s">
        <v>2220</v>
      </c>
      <c r="B1089" t="s">
        <v>18</v>
      </c>
      <c r="C1089" t="s">
        <v>29</v>
      </c>
      <c r="D1089">
        <v>3</v>
      </c>
      <c r="E1089">
        <v>40.28</v>
      </c>
      <c r="F1089" t="str">
        <f t="shared" si="32"/>
        <v>2025-03</v>
      </c>
      <c r="G1089">
        <f t="shared" si="33"/>
        <v>120.84</v>
      </c>
      <c r="H1089" s="2">
        <v>45728.857630524908</v>
      </c>
      <c r="I1089" t="s">
        <v>33</v>
      </c>
      <c r="J1089" t="s">
        <v>2221</v>
      </c>
    </row>
    <row r="1090" spans="1:10" x14ac:dyDescent="0.3">
      <c r="A1090" t="s">
        <v>2222</v>
      </c>
      <c r="B1090" t="s">
        <v>18</v>
      </c>
      <c r="C1090" t="s">
        <v>29</v>
      </c>
      <c r="D1090">
        <v>2</v>
      </c>
      <c r="E1090">
        <v>57.13</v>
      </c>
      <c r="F1090" t="str">
        <f t="shared" si="32"/>
        <v>2024-04</v>
      </c>
      <c r="G1090">
        <f t="shared" si="33"/>
        <v>114.26</v>
      </c>
      <c r="H1090" s="2">
        <v>45405.857630524908</v>
      </c>
      <c r="I1090" t="s">
        <v>32</v>
      </c>
      <c r="J1090" t="s">
        <v>2223</v>
      </c>
    </row>
    <row r="1091" spans="1:10" x14ac:dyDescent="0.3">
      <c r="A1091" t="s">
        <v>2224</v>
      </c>
      <c r="B1091" t="s">
        <v>19</v>
      </c>
      <c r="C1091" t="s">
        <v>28</v>
      </c>
      <c r="D1091">
        <v>5</v>
      </c>
      <c r="E1091">
        <v>40.25</v>
      </c>
      <c r="F1091" t="str">
        <f t="shared" ref="F1091:F1154" si="34">TEXT(H1091, "yyyy-mm")</f>
        <v>2024-08</v>
      </c>
      <c r="G1091">
        <f t="shared" ref="G1091:G1154" si="35">D1091*E1091</f>
        <v>201.25</v>
      </c>
      <c r="H1091" s="2">
        <v>45530.857630524908</v>
      </c>
      <c r="I1091" t="s">
        <v>34</v>
      </c>
      <c r="J1091" t="s">
        <v>2225</v>
      </c>
    </row>
    <row r="1092" spans="1:10" x14ac:dyDescent="0.3">
      <c r="A1092" t="s">
        <v>2226</v>
      </c>
      <c r="B1092" t="s">
        <v>25</v>
      </c>
      <c r="C1092" t="s">
        <v>30</v>
      </c>
      <c r="D1092">
        <v>4</v>
      </c>
      <c r="E1092">
        <v>42.07</v>
      </c>
      <c r="F1092" t="str">
        <f t="shared" si="34"/>
        <v>2025-01</v>
      </c>
      <c r="G1092">
        <f t="shared" si="35"/>
        <v>168.28</v>
      </c>
      <c r="H1092" s="2">
        <v>45670.857630524908</v>
      </c>
      <c r="I1092" t="s">
        <v>32</v>
      </c>
      <c r="J1092" t="s">
        <v>2227</v>
      </c>
    </row>
    <row r="1093" spans="1:10" x14ac:dyDescent="0.3">
      <c r="A1093" t="s">
        <v>2228</v>
      </c>
      <c r="B1093" t="s">
        <v>24</v>
      </c>
      <c r="C1093" t="s">
        <v>28</v>
      </c>
      <c r="D1093">
        <v>2</v>
      </c>
      <c r="E1093">
        <v>44.42</v>
      </c>
      <c r="F1093" t="str">
        <f t="shared" si="34"/>
        <v>2024-05</v>
      </c>
      <c r="G1093">
        <f t="shared" si="35"/>
        <v>88.84</v>
      </c>
      <c r="H1093" s="2">
        <v>45427.857630524908</v>
      </c>
      <c r="I1093" t="s">
        <v>33</v>
      </c>
      <c r="J1093" t="s">
        <v>2229</v>
      </c>
    </row>
    <row r="1094" spans="1:10" x14ac:dyDescent="0.3">
      <c r="A1094" t="s">
        <v>2230</v>
      </c>
      <c r="B1094" t="s">
        <v>26</v>
      </c>
      <c r="C1094" t="s">
        <v>28</v>
      </c>
      <c r="D1094">
        <v>1</v>
      </c>
      <c r="E1094">
        <v>35.03</v>
      </c>
      <c r="F1094" t="str">
        <f t="shared" si="34"/>
        <v>2024-08</v>
      </c>
      <c r="G1094">
        <f t="shared" si="35"/>
        <v>35.03</v>
      </c>
      <c r="H1094" s="2">
        <v>45512.857630524908</v>
      </c>
      <c r="I1094" t="s">
        <v>34</v>
      </c>
      <c r="J1094" t="s">
        <v>2231</v>
      </c>
    </row>
    <row r="1095" spans="1:10" x14ac:dyDescent="0.3">
      <c r="A1095" t="s">
        <v>2232</v>
      </c>
      <c r="B1095" t="s">
        <v>22</v>
      </c>
      <c r="C1095" t="s">
        <v>30</v>
      </c>
      <c r="D1095">
        <v>5</v>
      </c>
      <c r="E1095">
        <v>51.76</v>
      </c>
      <c r="F1095" t="str">
        <f t="shared" si="34"/>
        <v>2025-03</v>
      </c>
      <c r="G1095">
        <f t="shared" si="35"/>
        <v>258.8</v>
      </c>
      <c r="H1095" s="2">
        <v>45746.857630524908</v>
      </c>
      <c r="I1095" t="s">
        <v>35</v>
      </c>
      <c r="J1095" t="s">
        <v>2233</v>
      </c>
    </row>
    <row r="1096" spans="1:10" x14ac:dyDescent="0.3">
      <c r="A1096" t="s">
        <v>2234</v>
      </c>
      <c r="B1096" t="s">
        <v>26</v>
      </c>
      <c r="C1096" t="s">
        <v>28</v>
      </c>
      <c r="D1096">
        <v>1</v>
      </c>
      <c r="E1096">
        <v>34.659999999999997</v>
      </c>
      <c r="F1096" t="str">
        <f t="shared" si="34"/>
        <v>2025-03</v>
      </c>
      <c r="G1096">
        <f t="shared" si="35"/>
        <v>34.659999999999997</v>
      </c>
      <c r="H1096" s="2">
        <v>45730.857630524908</v>
      </c>
      <c r="I1096" t="s">
        <v>33</v>
      </c>
      <c r="J1096" t="s">
        <v>2235</v>
      </c>
    </row>
    <row r="1097" spans="1:10" x14ac:dyDescent="0.3">
      <c r="A1097" t="s">
        <v>2236</v>
      </c>
      <c r="B1097" t="s">
        <v>27</v>
      </c>
      <c r="C1097" t="s">
        <v>28</v>
      </c>
      <c r="D1097">
        <v>4</v>
      </c>
      <c r="E1097">
        <v>42.89</v>
      </c>
      <c r="F1097" t="str">
        <f t="shared" si="34"/>
        <v>2024-12</v>
      </c>
      <c r="G1097">
        <f t="shared" si="35"/>
        <v>171.56</v>
      </c>
      <c r="H1097" s="2">
        <v>45652.857630524908</v>
      </c>
      <c r="I1097" t="s">
        <v>31</v>
      </c>
      <c r="J1097" t="s">
        <v>2237</v>
      </c>
    </row>
    <row r="1098" spans="1:10" x14ac:dyDescent="0.3">
      <c r="A1098" t="s">
        <v>2238</v>
      </c>
      <c r="B1098" t="s">
        <v>22</v>
      </c>
      <c r="C1098" t="s">
        <v>30</v>
      </c>
      <c r="D1098">
        <v>2</v>
      </c>
      <c r="E1098">
        <v>33.590000000000003</v>
      </c>
      <c r="F1098" t="str">
        <f t="shared" si="34"/>
        <v>2024-09</v>
      </c>
      <c r="G1098">
        <f t="shared" si="35"/>
        <v>67.180000000000007</v>
      </c>
      <c r="H1098" s="2">
        <v>45553.857630524908</v>
      </c>
      <c r="I1098" t="s">
        <v>32</v>
      </c>
      <c r="J1098" t="s">
        <v>2239</v>
      </c>
    </row>
    <row r="1099" spans="1:10" x14ac:dyDescent="0.3">
      <c r="A1099" t="s">
        <v>2240</v>
      </c>
      <c r="B1099" t="s">
        <v>17</v>
      </c>
      <c r="C1099" t="s">
        <v>29</v>
      </c>
      <c r="D1099">
        <v>2</v>
      </c>
      <c r="E1099">
        <v>47.71</v>
      </c>
      <c r="F1099" t="str">
        <f t="shared" si="34"/>
        <v>2024-05</v>
      </c>
      <c r="G1099">
        <f t="shared" si="35"/>
        <v>95.42</v>
      </c>
      <c r="H1099" s="2">
        <v>45427.857630524908</v>
      </c>
      <c r="I1099" t="s">
        <v>35</v>
      </c>
      <c r="J1099" t="s">
        <v>2241</v>
      </c>
    </row>
    <row r="1100" spans="1:10" x14ac:dyDescent="0.3">
      <c r="A1100" t="s">
        <v>2242</v>
      </c>
      <c r="B1100" t="s">
        <v>20</v>
      </c>
      <c r="C1100" t="s">
        <v>30</v>
      </c>
      <c r="D1100">
        <v>2</v>
      </c>
      <c r="E1100">
        <v>15.18</v>
      </c>
      <c r="F1100" t="str">
        <f t="shared" si="34"/>
        <v>2024-06</v>
      </c>
      <c r="G1100">
        <f t="shared" si="35"/>
        <v>30.36</v>
      </c>
      <c r="H1100" s="2">
        <v>45449.857630524908</v>
      </c>
      <c r="I1100" t="s">
        <v>31</v>
      </c>
      <c r="J1100" t="s">
        <v>2243</v>
      </c>
    </row>
    <row r="1101" spans="1:10" x14ac:dyDescent="0.3">
      <c r="A1101" t="s">
        <v>2244</v>
      </c>
      <c r="B1101" t="s">
        <v>20</v>
      </c>
      <c r="C1101" t="s">
        <v>30</v>
      </c>
      <c r="D1101">
        <v>2</v>
      </c>
      <c r="E1101">
        <v>45.45</v>
      </c>
      <c r="F1101" t="str">
        <f t="shared" si="34"/>
        <v>2024-11</v>
      </c>
      <c r="G1101">
        <f t="shared" si="35"/>
        <v>90.9</v>
      </c>
      <c r="H1101" s="2">
        <v>45626.857630524908</v>
      </c>
      <c r="I1101" t="s">
        <v>35</v>
      </c>
      <c r="J1101" t="s">
        <v>2245</v>
      </c>
    </row>
    <row r="1102" spans="1:10" x14ac:dyDescent="0.3">
      <c r="A1102" t="s">
        <v>2246</v>
      </c>
      <c r="B1102" t="s">
        <v>24</v>
      </c>
      <c r="C1102" t="s">
        <v>28</v>
      </c>
      <c r="D1102">
        <v>4</v>
      </c>
      <c r="E1102">
        <v>21.17</v>
      </c>
      <c r="F1102" t="str">
        <f t="shared" si="34"/>
        <v>2024-05</v>
      </c>
      <c r="G1102">
        <f t="shared" si="35"/>
        <v>84.68</v>
      </c>
      <c r="H1102" s="2">
        <v>45427.857630524908</v>
      </c>
      <c r="I1102" t="s">
        <v>31</v>
      </c>
      <c r="J1102" t="s">
        <v>2247</v>
      </c>
    </row>
    <row r="1103" spans="1:10" x14ac:dyDescent="0.3">
      <c r="A1103" t="s">
        <v>2248</v>
      </c>
      <c r="B1103" t="s">
        <v>24</v>
      </c>
      <c r="C1103" t="s">
        <v>28</v>
      </c>
      <c r="D1103">
        <v>3</v>
      </c>
      <c r="E1103">
        <v>51.71</v>
      </c>
      <c r="F1103" t="str">
        <f t="shared" si="34"/>
        <v>2024-04</v>
      </c>
      <c r="G1103">
        <f t="shared" si="35"/>
        <v>155.13</v>
      </c>
      <c r="H1103" s="2">
        <v>45398.857630524908</v>
      </c>
      <c r="I1103" t="s">
        <v>32</v>
      </c>
      <c r="J1103" t="s">
        <v>2249</v>
      </c>
    </row>
    <row r="1104" spans="1:10" x14ac:dyDescent="0.3">
      <c r="A1104" t="s">
        <v>2250</v>
      </c>
      <c r="B1104" t="s">
        <v>25</v>
      </c>
      <c r="C1104" t="s">
        <v>30</v>
      </c>
      <c r="D1104">
        <v>5</v>
      </c>
      <c r="E1104">
        <v>23.45</v>
      </c>
      <c r="F1104" t="str">
        <f t="shared" si="34"/>
        <v>2025-03</v>
      </c>
      <c r="G1104">
        <f t="shared" si="35"/>
        <v>117.25</v>
      </c>
      <c r="H1104" s="2">
        <v>45726.857630524908</v>
      </c>
      <c r="I1104" t="s">
        <v>32</v>
      </c>
      <c r="J1104" t="s">
        <v>2251</v>
      </c>
    </row>
    <row r="1105" spans="1:10" x14ac:dyDescent="0.3">
      <c r="A1105" t="s">
        <v>2252</v>
      </c>
      <c r="B1105" t="s">
        <v>24</v>
      </c>
      <c r="C1105" t="s">
        <v>28</v>
      </c>
      <c r="D1105">
        <v>5</v>
      </c>
      <c r="E1105">
        <v>48.25</v>
      </c>
      <c r="F1105" t="str">
        <f t="shared" si="34"/>
        <v>2025-03</v>
      </c>
      <c r="G1105">
        <f t="shared" si="35"/>
        <v>241.25</v>
      </c>
      <c r="H1105" s="2">
        <v>45734.857630524908</v>
      </c>
      <c r="I1105" t="s">
        <v>31</v>
      </c>
      <c r="J1105" t="s">
        <v>2253</v>
      </c>
    </row>
    <row r="1106" spans="1:10" x14ac:dyDescent="0.3">
      <c r="A1106" t="s">
        <v>2254</v>
      </c>
      <c r="B1106" t="s">
        <v>16</v>
      </c>
      <c r="C1106" t="s">
        <v>29</v>
      </c>
      <c r="D1106">
        <v>4</v>
      </c>
      <c r="E1106">
        <v>51.15</v>
      </c>
      <c r="F1106" t="str">
        <f t="shared" si="34"/>
        <v>2024-11</v>
      </c>
      <c r="G1106">
        <f t="shared" si="35"/>
        <v>204.6</v>
      </c>
      <c r="H1106" s="2">
        <v>45614.857630524908</v>
      </c>
      <c r="I1106" t="s">
        <v>31</v>
      </c>
      <c r="J1106" t="s">
        <v>2255</v>
      </c>
    </row>
    <row r="1107" spans="1:10" x14ac:dyDescent="0.3">
      <c r="A1107" t="s">
        <v>2256</v>
      </c>
      <c r="B1107" t="s">
        <v>18</v>
      </c>
      <c r="C1107" t="s">
        <v>29</v>
      </c>
      <c r="D1107">
        <v>2</v>
      </c>
      <c r="E1107">
        <v>27.27</v>
      </c>
      <c r="F1107" t="str">
        <f t="shared" si="34"/>
        <v>2025-02</v>
      </c>
      <c r="G1107">
        <f t="shared" si="35"/>
        <v>54.54</v>
      </c>
      <c r="H1107" s="2">
        <v>45694.857630524908</v>
      </c>
      <c r="I1107" t="s">
        <v>33</v>
      </c>
      <c r="J1107" t="s">
        <v>2257</v>
      </c>
    </row>
    <row r="1108" spans="1:10" x14ac:dyDescent="0.3">
      <c r="A1108" t="s">
        <v>2258</v>
      </c>
      <c r="B1108" t="s">
        <v>17</v>
      </c>
      <c r="C1108" t="s">
        <v>29</v>
      </c>
      <c r="D1108">
        <v>2</v>
      </c>
      <c r="E1108">
        <v>25.41</v>
      </c>
      <c r="F1108" t="str">
        <f t="shared" si="34"/>
        <v>2024-07</v>
      </c>
      <c r="G1108">
        <f t="shared" si="35"/>
        <v>50.82</v>
      </c>
      <c r="H1108" s="2">
        <v>45484.857630524908</v>
      </c>
      <c r="I1108" t="s">
        <v>32</v>
      </c>
      <c r="J1108" t="s">
        <v>2259</v>
      </c>
    </row>
    <row r="1109" spans="1:10" x14ac:dyDescent="0.3">
      <c r="A1109" t="s">
        <v>2260</v>
      </c>
      <c r="B1109" t="s">
        <v>16</v>
      </c>
      <c r="C1109" t="s">
        <v>29</v>
      </c>
      <c r="D1109">
        <v>5</v>
      </c>
      <c r="E1109">
        <v>15.39</v>
      </c>
      <c r="F1109" t="str">
        <f t="shared" si="34"/>
        <v>2024-12</v>
      </c>
      <c r="G1109">
        <f t="shared" si="35"/>
        <v>76.95</v>
      </c>
      <c r="H1109" s="2">
        <v>45656.857630524908</v>
      </c>
      <c r="I1109" t="s">
        <v>34</v>
      </c>
      <c r="J1109" t="s">
        <v>2261</v>
      </c>
    </row>
    <row r="1110" spans="1:10" x14ac:dyDescent="0.3">
      <c r="A1110" t="s">
        <v>2262</v>
      </c>
      <c r="B1110" t="s">
        <v>19</v>
      </c>
      <c r="C1110" t="s">
        <v>28</v>
      </c>
      <c r="D1110">
        <v>4</v>
      </c>
      <c r="E1110">
        <v>26.73</v>
      </c>
      <c r="F1110" t="str">
        <f t="shared" si="34"/>
        <v>2024-07</v>
      </c>
      <c r="G1110">
        <f t="shared" si="35"/>
        <v>106.92</v>
      </c>
      <c r="H1110" s="2">
        <v>45504.857630524908</v>
      </c>
      <c r="I1110" t="s">
        <v>35</v>
      </c>
      <c r="J1110" t="s">
        <v>2263</v>
      </c>
    </row>
    <row r="1111" spans="1:10" x14ac:dyDescent="0.3">
      <c r="A1111" t="s">
        <v>2264</v>
      </c>
      <c r="B1111" t="s">
        <v>20</v>
      </c>
      <c r="C1111" t="s">
        <v>30</v>
      </c>
      <c r="D1111">
        <v>2</v>
      </c>
      <c r="E1111">
        <v>48.2</v>
      </c>
      <c r="F1111" t="str">
        <f t="shared" si="34"/>
        <v>2024-07</v>
      </c>
      <c r="G1111">
        <f t="shared" si="35"/>
        <v>96.4</v>
      </c>
      <c r="H1111" s="2">
        <v>45500.857630524908</v>
      </c>
      <c r="I1111" t="s">
        <v>32</v>
      </c>
      <c r="J1111" t="s">
        <v>2265</v>
      </c>
    </row>
    <row r="1112" spans="1:10" x14ac:dyDescent="0.3">
      <c r="A1112" t="s">
        <v>2266</v>
      </c>
      <c r="B1112" t="s">
        <v>22</v>
      </c>
      <c r="C1112" t="s">
        <v>30</v>
      </c>
      <c r="D1112">
        <v>2</v>
      </c>
      <c r="E1112">
        <v>50.88</v>
      </c>
      <c r="F1112" t="str">
        <f t="shared" si="34"/>
        <v>2024-09</v>
      </c>
      <c r="G1112">
        <f t="shared" si="35"/>
        <v>101.76</v>
      </c>
      <c r="H1112" s="2">
        <v>45544.857630524908</v>
      </c>
      <c r="I1112" t="s">
        <v>31</v>
      </c>
      <c r="J1112" t="s">
        <v>2267</v>
      </c>
    </row>
    <row r="1113" spans="1:10" x14ac:dyDescent="0.3">
      <c r="A1113" t="s">
        <v>2268</v>
      </c>
      <c r="B1113" t="s">
        <v>19</v>
      </c>
      <c r="C1113" t="s">
        <v>28</v>
      </c>
      <c r="D1113">
        <v>2</v>
      </c>
      <c r="E1113">
        <v>22.44</v>
      </c>
      <c r="F1113" t="str">
        <f t="shared" si="34"/>
        <v>2024-06</v>
      </c>
      <c r="G1113">
        <f t="shared" si="35"/>
        <v>44.88</v>
      </c>
      <c r="H1113" s="2">
        <v>45473.857630524908</v>
      </c>
      <c r="I1113" t="s">
        <v>35</v>
      </c>
      <c r="J1113" t="s">
        <v>2269</v>
      </c>
    </row>
    <row r="1114" spans="1:10" x14ac:dyDescent="0.3">
      <c r="A1114" t="s">
        <v>2270</v>
      </c>
      <c r="B1114" t="s">
        <v>19</v>
      </c>
      <c r="C1114" t="s">
        <v>28</v>
      </c>
      <c r="D1114">
        <v>3</v>
      </c>
      <c r="E1114">
        <v>34.6</v>
      </c>
      <c r="F1114" t="str">
        <f t="shared" si="34"/>
        <v>2024-09</v>
      </c>
      <c r="G1114">
        <f t="shared" si="35"/>
        <v>103.80000000000001</v>
      </c>
      <c r="H1114" s="2">
        <v>45541.857630524908</v>
      </c>
      <c r="I1114" t="s">
        <v>35</v>
      </c>
      <c r="J1114" t="s">
        <v>2271</v>
      </c>
    </row>
    <row r="1115" spans="1:10" x14ac:dyDescent="0.3">
      <c r="A1115" t="s">
        <v>2272</v>
      </c>
      <c r="B1115" t="s">
        <v>16</v>
      </c>
      <c r="C1115" t="s">
        <v>29</v>
      </c>
      <c r="D1115">
        <v>1</v>
      </c>
      <c r="E1115">
        <v>34.07</v>
      </c>
      <c r="F1115" t="str">
        <f t="shared" si="34"/>
        <v>2024-11</v>
      </c>
      <c r="G1115">
        <f t="shared" si="35"/>
        <v>34.07</v>
      </c>
      <c r="H1115" s="2">
        <v>45619.857630524908</v>
      </c>
      <c r="I1115" t="s">
        <v>32</v>
      </c>
      <c r="J1115" t="s">
        <v>2273</v>
      </c>
    </row>
    <row r="1116" spans="1:10" x14ac:dyDescent="0.3">
      <c r="A1116" t="s">
        <v>2274</v>
      </c>
      <c r="B1116" t="s">
        <v>21</v>
      </c>
      <c r="C1116" t="s">
        <v>30</v>
      </c>
      <c r="D1116">
        <v>1</v>
      </c>
      <c r="E1116">
        <v>37</v>
      </c>
      <c r="F1116" t="str">
        <f t="shared" si="34"/>
        <v>2024-04</v>
      </c>
      <c r="G1116">
        <f t="shared" si="35"/>
        <v>37</v>
      </c>
      <c r="H1116" s="2">
        <v>45387.857630524908</v>
      </c>
      <c r="I1116" t="s">
        <v>33</v>
      </c>
      <c r="J1116" t="s">
        <v>2275</v>
      </c>
    </row>
    <row r="1117" spans="1:10" x14ac:dyDescent="0.3">
      <c r="A1117" t="s">
        <v>2276</v>
      </c>
      <c r="B1117" t="s">
        <v>26</v>
      </c>
      <c r="C1117" t="s">
        <v>28</v>
      </c>
      <c r="D1117">
        <v>1</v>
      </c>
      <c r="E1117">
        <v>55.07</v>
      </c>
      <c r="F1117" t="str">
        <f t="shared" si="34"/>
        <v>2025-03</v>
      </c>
      <c r="G1117">
        <f t="shared" si="35"/>
        <v>55.07</v>
      </c>
      <c r="H1117" s="2">
        <v>45725.857630524908</v>
      </c>
      <c r="I1117" t="s">
        <v>34</v>
      </c>
      <c r="J1117" t="s">
        <v>2277</v>
      </c>
    </row>
    <row r="1118" spans="1:10" x14ac:dyDescent="0.3">
      <c r="A1118" t="s">
        <v>2278</v>
      </c>
      <c r="B1118" t="s">
        <v>16</v>
      </c>
      <c r="C1118" t="s">
        <v>29</v>
      </c>
      <c r="D1118">
        <v>4</v>
      </c>
      <c r="E1118">
        <v>53.13</v>
      </c>
      <c r="F1118" t="str">
        <f t="shared" si="34"/>
        <v>2025-02</v>
      </c>
      <c r="G1118">
        <f t="shared" si="35"/>
        <v>212.52</v>
      </c>
      <c r="H1118" s="2">
        <v>45689.857630524908</v>
      </c>
      <c r="I1118" t="s">
        <v>35</v>
      </c>
      <c r="J1118" t="s">
        <v>2279</v>
      </c>
    </row>
    <row r="1119" spans="1:10" x14ac:dyDescent="0.3">
      <c r="A1119" t="s">
        <v>2280</v>
      </c>
      <c r="B1119" t="s">
        <v>19</v>
      </c>
      <c r="C1119" t="s">
        <v>28</v>
      </c>
      <c r="D1119">
        <v>1</v>
      </c>
      <c r="E1119">
        <v>10.48</v>
      </c>
      <c r="F1119" t="str">
        <f t="shared" si="34"/>
        <v>2024-08</v>
      </c>
      <c r="G1119">
        <f t="shared" si="35"/>
        <v>10.48</v>
      </c>
      <c r="H1119" s="2">
        <v>45513.857630524908</v>
      </c>
      <c r="I1119" t="s">
        <v>31</v>
      </c>
      <c r="J1119" t="s">
        <v>2281</v>
      </c>
    </row>
    <row r="1120" spans="1:10" x14ac:dyDescent="0.3">
      <c r="A1120" t="s">
        <v>2282</v>
      </c>
      <c r="B1120" t="s">
        <v>18</v>
      </c>
      <c r="C1120" t="s">
        <v>29</v>
      </c>
      <c r="D1120">
        <v>5</v>
      </c>
      <c r="E1120">
        <v>24.59</v>
      </c>
      <c r="F1120" t="str">
        <f t="shared" si="34"/>
        <v>2025-02</v>
      </c>
      <c r="G1120">
        <f t="shared" si="35"/>
        <v>122.95</v>
      </c>
      <c r="H1120" s="2">
        <v>45711.857630524908</v>
      </c>
      <c r="I1120" t="s">
        <v>33</v>
      </c>
      <c r="J1120" t="s">
        <v>2283</v>
      </c>
    </row>
    <row r="1121" spans="1:10" x14ac:dyDescent="0.3">
      <c r="A1121" t="s">
        <v>2284</v>
      </c>
      <c r="B1121" t="s">
        <v>17</v>
      </c>
      <c r="C1121" t="s">
        <v>29</v>
      </c>
      <c r="D1121">
        <v>1</v>
      </c>
      <c r="E1121">
        <v>48.65</v>
      </c>
      <c r="F1121" t="str">
        <f t="shared" si="34"/>
        <v>2024-06</v>
      </c>
      <c r="G1121">
        <f t="shared" si="35"/>
        <v>48.65</v>
      </c>
      <c r="H1121" s="2">
        <v>45447.857630524908</v>
      </c>
      <c r="I1121" t="s">
        <v>31</v>
      </c>
      <c r="J1121" t="s">
        <v>2285</v>
      </c>
    </row>
    <row r="1122" spans="1:10" x14ac:dyDescent="0.3">
      <c r="A1122" t="s">
        <v>2286</v>
      </c>
      <c r="B1122" t="s">
        <v>20</v>
      </c>
      <c r="C1122" t="s">
        <v>30</v>
      </c>
      <c r="D1122">
        <v>1</v>
      </c>
      <c r="E1122">
        <v>15.89</v>
      </c>
      <c r="F1122" t="str">
        <f t="shared" si="34"/>
        <v>2025-02</v>
      </c>
      <c r="G1122">
        <f t="shared" si="35"/>
        <v>15.89</v>
      </c>
      <c r="H1122" s="2">
        <v>45709.857630524908</v>
      </c>
      <c r="I1122" t="s">
        <v>34</v>
      </c>
      <c r="J1122" t="s">
        <v>2287</v>
      </c>
    </row>
    <row r="1123" spans="1:10" x14ac:dyDescent="0.3">
      <c r="A1123" t="s">
        <v>2288</v>
      </c>
      <c r="B1123" t="s">
        <v>22</v>
      </c>
      <c r="C1123" t="s">
        <v>30</v>
      </c>
      <c r="D1123">
        <v>2</v>
      </c>
      <c r="E1123">
        <v>20.88</v>
      </c>
      <c r="F1123" t="str">
        <f t="shared" si="34"/>
        <v>2024-07</v>
      </c>
      <c r="G1123">
        <f t="shared" si="35"/>
        <v>41.76</v>
      </c>
      <c r="H1123" s="2">
        <v>45492.857630524908</v>
      </c>
      <c r="I1123" t="s">
        <v>33</v>
      </c>
      <c r="J1123" t="s">
        <v>2289</v>
      </c>
    </row>
    <row r="1124" spans="1:10" x14ac:dyDescent="0.3">
      <c r="A1124" t="s">
        <v>2290</v>
      </c>
      <c r="B1124" t="s">
        <v>18</v>
      </c>
      <c r="C1124" t="s">
        <v>29</v>
      </c>
      <c r="D1124">
        <v>4</v>
      </c>
      <c r="E1124">
        <v>13.48</v>
      </c>
      <c r="F1124" t="str">
        <f t="shared" si="34"/>
        <v>2025-02</v>
      </c>
      <c r="G1124">
        <f t="shared" si="35"/>
        <v>53.92</v>
      </c>
      <c r="H1124" s="2">
        <v>45712.857630524908</v>
      </c>
      <c r="I1124" t="s">
        <v>32</v>
      </c>
      <c r="J1124" t="s">
        <v>2291</v>
      </c>
    </row>
    <row r="1125" spans="1:10" x14ac:dyDescent="0.3">
      <c r="A1125" t="s">
        <v>2292</v>
      </c>
      <c r="B1125" t="s">
        <v>19</v>
      </c>
      <c r="C1125" t="s">
        <v>28</v>
      </c>
      <c r="D1125">
        <v>4</v>
      </c>
      <c r="E1125">
        <v>55.25</v>
      </c>
      <c r="F1125" t="str">
        <f t="shared" si="34"/>
        <v>2025-03</v>
      </c>
      <c r="G1125">
        <f t="shared" si="35"/>
        <v>221</v>
      </c>
      <c r="H1125" s="2">
        <v>45731.857630524908</v>
      </c>
      <c r="I1125" t="s">
        <v>32</v>
      </c>
      <c r="J1125" t="s">
        <v>2293</v>
      </c>
    </row>
    <row r="1126" spans="1:10" x14ac:dyDescent="0.3">
      <c r="A1126" t="s">
        <v>2294</v>
      </c>
      <c r="B1126" t="s">
        <v>16</v>
      </c>
      <c r="C1126" t="s">
        <v>29</v>
      </c>
      <c r="D1126">
        <v>5</v>
      </c>
      <c r="E1126">
        <v>31.31</v>
      </c>
      <c r="F1126" t="str">
        <f t="shared" si="34"/>
        <v>2024-05</v>
      </c>
      <c r="G1126">
        <f t="shared" si="35"/>
        <v>156.54999999999998</v>
      </c>
      <c r="H1126" s="2">
        <v>45422.857630524908</v>
      </c>
      <c r="I1126" t="s">
        <v>31</v>
      </c>
      <c r="J1126" t="s">
        <v>2295</v>
      </c>
    </row>
    <row r="1127" spans="1:10" x14ac:dyDescent="0.3">
      <c r="A1127" t="s">
        <v>2296</v>
      </c>
      <c r="B1127" t="s">
        <v>23</v>
      </c>
      <c r="C1127" t="s">
        <v>28</v>
      </c>
      <c r="D1127">
        <v>3</v>
      </c>
      <c r="E1127">
        <v>15.95</v>
      </c>
      <c r="F1127" t="str">
        <f t="shared" si="34"/>
        <v>2024-10</v>
      </c>
      <c r="G1127">
        <f t="shared" si="35"/>
        <v>47.849999999999994</v>
      </c>
      <c r="H1127" s="2">
        <v>45579.857630524908</v>
      </c>
      <c r="I1127" t="s">
        <v>32</v>
      </c>
      <c r="J1127" t="s">
        <v>2297</v>
      </c>
    </row>
    <row r="1128" spans="1:10" x14ac:dyDescent="0.3">
      <c r="A1128" t="s">
        <v>2298</v>
      </c>
      <c r="B1128" t="s">
        <v>22</v>
      </c>
      <c r="C1128" t="s">
        <v>30</v>
      </c>
      <c r="D1128">
        <v>2</v>
      </c>
      <c r="E1128">
        <v>28.73</v>
      </c>
      <c r="F1128" t="str">
        <f t="shared" si="34"/>
        <v>2024-05</v>
      </c>
      <c r="G1128">
        <f t="shared" si="35"/>
        <v>57.46</v>
      </c>
      <c r="H1128" s="2">
        <v>45427.857630524908</v>
      </c>
      <c r="I1128" t="s">
        <v>35</v>
      </c>
      <c r="J1128" t="s">
        <v>2299</v>
      </c>
    </row>
    <row r="1129" spans="1:10" x14ac:dyDescent="0.3">
      <c r="A1129" t="s">
        <v>2300</v>
      </c>
      <c r="B1129" t="s">
        <v>19</v>
      </c>
      <c r="C1129" t="s">
        <v>28</v>
      </c>
      <c r="D1129">
        <v>1</v>
      </c>
      <c r="E1129">
        <v>10.210000000000001</v>
      </c>
      <c r="F1129" t="str">
        <f t="shared" si="34"/>
        <v>2025-02</v>
      </c>
      <c r="G1129">
        <f t="shared" si="35"/>
        <v>10.210000000000001</v>
      </c>
      <c r="H1129" s="2">
        <v>45707.857630524908</v>
      </c>
      <c r="I1129" t="s">
        <v>32</v>
      </c>
      <c r="J1129" t="s">
        <v>2301</v>
      </c>
    </row>
    <row r="1130" spans="1:10" x14ac:dyDescent="0.3">
      <c r="A1130" t="s">
        <v>2302</v>
      </c>
      <c r="B1130" t="s">
        <v>20</v>
      </c>
      <c r="C1130" t="s">
        <v>30</v>
      </c>
      <c r="D1130">
        <v>1</v>
      </c>
      <c r="E1130">
        <v>11.32</v>
      </c>
      <c r="F1130" t="str">
        <f t="shared" si="34"/>
        <v>2024-12</v>
      </c>
      <c r="G1130">
        <f t="shared" si="35"/>
        <v>11.32</v>
      </c>
      <c r="H1130" s="2">
        <v>45649.857630524908</v>
      </c>
      <c r="I1130" t="s">
        <v>32</v>
      </c>
      <c r="J1130" t="s">
        <v>2303</v>
      </c>
    </row>
    <row r="1131" spans="1:10" x14ac:dyDescent="0.3">
      <c r="A1131" t="s">
        <v>2304</v>
      </c>
      <c r="B1131" t="s">
        <v>25</v>
      </c>
      <c r="C1131" t="s">
        <v>30</v>
      </c>
      <c r="D1131">
        <v>3</v>
      </c>
      <c r="E1131">
        <v>47.22</v>
      </c>
      <c r="F1131" t="str">
        <f t="shared" si="34"/>
        <v>2025-01</v>
      </c>
      <c r="G1131">
        <f t="shared" si="35"/>
        <v>141.66</v>
      </c>
      <c r="H1131" s="2">
        <v>45660.857630524908</v>
      </c>
      <c r="I1131" t="s">
        <v>31</v>
      </c>
      <c r="J1131" t="s">
        <v>2305</v>
      </c>
    </row>
    <row r="1132" spans="1:10" x14ac:dyDescent="0.3">
      <c r="A1132" t="s">
        <v>2306</v>
      </c>
      <c r="B1132" t="s">
        <v>18</v>
      </c>
      <c r="C1132" t="s">
        <v>29</v>
      </c>
      <c r="D1132">
        <v>4</v>
      </c>
      <c r="E1132">
        <v>28.76</v>
      </c>
      <c r="F1132" t="str">
        <f t="shared" si="34"/>
        <v>2024-04</v>
      </c>
      <c r="G1132">
        <f t="shared" si="35"/>
        <v>115.04</v>
      </c>
      <c r="H1132" s="2">
        <v>45410.857630524908</v>
      </c>
      <c r="I1132" t="s">
        <v>35</v>
      </c>
      <c r="J1132" t="s">
        <v>2307</v>
      </c>
    </row>
    <row r="1133" spans="1:10" x14ac:dyDescent="0.3">
      <c r="A1133" t="s">
        <v>2308</v>
      </c>
      <c r="B1133" t="s">
        <v>25</v>
      </c>
      <c r="C1133" t="s">
        <v>30</v>
      </c>
      <c r="D1133">
        <v>3</v>
      </c>
      <c r="E1133">
        <v>41.63</v>
      </c>
      <c r="F1133" t="str">
        <f t="shared" si="34"/>
        <v>2025-02</v>
      </c>
      <c r="G1133">
        <f t="shared" si="35"/>
        <v>124.89000000000001</v>
      </c>
      <c r="H1133" s="2">
        <v>45704.857630524908</v>
      </c>
      <c r="I1133" t="s">
        <v>33</v>
      </c>
      <c r="J1133" t="s">
        <v>2309</v>
      </c>
    </row>
    <row r="1134" spans="1:10" x14ac:dyDescent="0.3">
      <c r="A1134" t="s">
        <v>2310</v>
      </c>
      <c r="B1134" t="s">
        <v>24</v>
      </c>
      <c r="C1134" t="s">
        <v>28</v>
      </c>
      <c r="D1134">
        <v>3</v>
      </c>
      <c r="E1134">
        <v>52.34</v>
      </c>
      <c r="F1134" t="str">
        <f t="shared" si="34"/>
        <v>2024-12</v>
      </c>
      <c r="G1134">
        <f t="shared" si="35"/>
        <v>157.02000000000001</v>
      </c>
      <c r="H1134" s="2">
        <v>45636.857630524908</v>
      </c>
      <c r="I1134" t="s">
        <v>35</v>
      </c>
      <c r="J1134" t="s">
        <v>2311</v>
      </c>
    </row>
    <row r="1135" spans="1:10" x14ac:dyDescent="0.3">
      <c r="A1135" t="s">
        <v>2312</v>
      </c>
      <c r="B1135" t="s">
        <v>19</v>
      </c>
      <c r="C1135" t="s">
        <v>28</v>
      </c>
      <c r="D1135">
        <v>2</v>
      </c>
      <c r="E1135">
        <v>21.75</v>
      </c>
      <c r="F1135" t="str">
        <f t="shared" si="34"/>
        <v>2025-01</v>
      </c>
      <c r="G1135">
        <f t="shared" si="35"/>
        <v>43.5</v>
      </c>
      <c r="H1135" s="2">
        <v>45659.857630524908</v>
      </c>
      <c r="I1135" t="s">
        <v>31</v>
      </c>
      <c r="J1135" t="s">
        <v>2313</v>
      </c>
    </row>
    <row r="1136" spans="1:10" x14ac:dyDescent="0.3">
      <c r="A1136" t="s">
        <v>2314</v>
      </c>
      <c r="B1136" t="s">
        <v>23</v>
      </c>
      <c r="C1136" t="s">
        <v>28</v>
      </c>
      <c r="D1136">
        <v>3</v>
      </c>
      <c r="E1136">
        <v>55.33</v>
      </c>
      <c r="F1136" t="str">
        <f t="shared" si="34"/>
        <v>2024-05</v>
      </c>
      <c r="G1136">
        <f t="shared" si="35"/>
        <v>165.99</v>
      </c>
      <c r="H1136" s="2">
        <v>45437.857630524908</v>
      </c>
      <c r="I1136" t="s">
        <v>33</v>
      </c>
      <c r="J1136" t="s">
        <v>2315</v>
      </c>
    </row>
    <row r="1137" spans="1:10" x14ac:dyDescent="0.3">
      <c r="A1137" t="s">
        <v>2316</v>
      </c>
      <c r="B1137" t="s">
        <v>19</v>
      </c>
      <c r="C1137" t="s">
        <v>28</v>
      </c>
      <c r="D1137">
        <v>2</v>
      </c>
      <c r="E1137">
        <v>36.14</v>
      </c>
      <c r="F1137" t="str">
        <f t="shared" si="34"/>
        <v>2024-05</v>
      </c>
      <c r="G1137">
        <f t="shared" si="35"/>
        <v>72.28</v>
      </c>
      <c r="H1137" s="2">
        <v>45426.857630524908</v>
      </c>
      <c r="I1137" t="s">
        <v>34</v>
      </c>
      <c r="J1137" t="s">
        <v>2317</v>
      </c>
    </row>
    <row r="1138" spans="1:10" x14ac:dyDescent="0.3">
      <c r="A1138" t="s">
        <v>2318</v>
      </c>
      <c r="B1138" t="s">
        <v>16</v>
      </c>
      <c r="C1138" t="s">
        <v>29</v>
      </c>
      <c r="D1138">
        <v>5</v>
      </c>
      <c r="E1138">
        <v>14.81</v>
      </c>
      <c r="F1138" t="str">
        <f t="shared" si="34"/>
        <v>2024-11</v>
      </c>
      <c r="G1138">
        <f t="shared" si="35"/>
        <v>74.05</v>
      </c>
      <c r="H1138" s="2">
        <v>45603.857630524908</v>
      </c>
      <c r="I1138" t="s">
        <v>35</v>
      </c>
      <c r="J1138" t="s">
        <v>2319</v>
      </c>
    </row>
    <row r="1139" spans="1:10" x14ac:dyDescent="0.3">
      <c r="A1139" t="s">
        <v>2320</v>
      </c>
      <c r="B1139" t="s">
        <v>17</v>
      </c>
      <c r="C1139" t="s">
        <v>29</v>
      </c>
      <c r="D1139">
        <v>1</v>
      </c>
      <c r="E1139">
        <v>32.76</v>
      </c>
      <c r="F1139" t="str">
        <f t="shared" si="34"/>
        <v>2024-07</v>
      </c>
      <c r="G1139">
        <f t="shared" si="35"/>
        <v>32.76</v>
      </c>
      <c r="H1139" s="2">
        <v>45498.857630524908</v>
      </c>
      <c r="I1139" t="s">
        <v>35</v>
      </c>
      <c r="J1139" t="s">
        <v>2321</v>
      </c>
    </row>
    <row r="1140" spans="1:10" x14ac:dyDescent="0.3">
      <c r="A1140" t="s">
        <v>2322</v>
      </c>
      <c r="B1140" t="s">
        <v>19</v>
      </c>
      <c r="C1140" t="s">
        <v>28</v>
      </c>
      <c r="D1140">
        <v>4</v>
      </c>
      <c r="E1140">
        <v>20.56</v>
      </c>
      <c r="F1140" t="str">
        <f t="shared" si="34"/>
        <v>2025-01</v>
      </c>
      <c r="G1140">
        <f t="shared" si="35"/>
        <v>82.24</v>
      </c>
      <c r="H1140" s="2">
        <v>45680.857630524908</v>
      </c>
      <c r="I1140" t="s">
        <v>33</v>
      </c>
      <c r="J1140" t="s">
        <v>2323</v>
      </c>
    </row>
    <row r="1141" spans="1:10" x14ac:dyDescent="0.3">
      <c r="A1141" t="s">
        <v>2324</v>
      </c>
      <c r="B1141" t="s">
        <v>19</v>
      </c>
      <c r="C1141" t="s">
        <v>28</v>
      </c>
      <c r="D1141">
        <v>4</v>
      </c>
      <c r="E1141">
        <v>53.08</v>
      </c>
      <c r="F1141" t="str">
        <f t="shared" si="34"/>
        <v>2024-06</v>
      </c>
      <c r="G1141">
        <f t="shared" si="35"/>
        <v>212.32</v>
      </c>
      <c r="H1141" s="2">
        <v>45460.857630524908</v>
      </c>
      <c r="I1141" t="s">
        <v>33</v>
      </c>
      <c r="J1141" t="s">
        <v>2325</v>
      </c>
    </row>
    <row r="1142" spans="1:10" x14ac:dyDescent="0.3">
      <c r="A1142" t="s">
        <v>2326</v>
      </c>
      <c r="B1142" t="s">
        <v>26</v>
      </c>
      <c r="C1142" t="s">
        <v>28</v>
      </c>
      <c r="D1142">
        <v>3</v>
      </c>
      <c r="E1142">
        <v>47.8</v>
      </c>
      <c r="F1142" t="str">
        <f t="shared" si="34"/>
        <v>2024-05</v>
      </c>
      <c r="G1142">
        <f t="shared" si="35"/>
        <v>143.39999999999998</v>
      </c>
      <c r="H1142" s="2">
        <v>45424.857630524908</v>
      </c>
      <c r="I1142" t="s">
        <v>35</v>
      </c>
      <c r="J1142" t="s">
        <v>2327</v>
      </c>
    </row>
    <row r="1143" spans="1:10" x14ac:dyDescent="0.3">
      <c r="A1143" t="s">
        <v>2328</v>
      </c>
      <c r="B1143" t="s">
        <v>18</v>
      </c>
      <c r="C1143" t="s">
        <v>29</v>
      </c>
      <c r="D1143">
        <v>4</v>
      </c>
      <c r="E1143">
        <v>12.61</v>
      </c>
      <c r="F1143" t="str">
        <f t="shared" si="34"/>
        <v>2024-08</v>
      </c>
      <c r="G1143">
        <f t="shared" si="35"/>
        <v>50.44</v>
      </c>
      <c r="H1143" s="2">
        <v>45518.857630524908</v>
      </c>
      <c r="I1143" t="s">
        <v>32</v>
      </c>
      <c r="J1143" t="s">
        <v>2329</v>
      </c>
    </row>
    <row r="1144" spans="1:10" x14ac:dyDescent="0.3">
      <c r="A1144" t="s">
        <v>2330</v>
      </c>
      <c r="B1144" t="s">
        <v>27</v>
      </c>
      <c r="C1144" t="s">
        <v>28</v>
      </c>
      <c r="D1144">
        <v>2</v>
      </c>
      <c r="E1144">
        <v>26.8</v>
      </c>
      <c r="F1144" t="str">
        <f t="shared" si="34"/>
        <v>2025-03</v>
      </c>
      <c r="G1144">
        <f t="shared" si="35"/>
        <v>53.6</v>
      </c>
      <c r="H1144" s="2">
        <v>45728.857630524908</v>
      </c>
      <c r="I1144" t="s">
        <v>31</v>
      </c>
      <c r="J1144" t="s">
        <v>2331</v>
      </c>
    </row>
    <row r="1145" spans="1:10" x14ac:dyDescent="0.3">
      <c r="A1145" t="s">
        <v>2332</v>
      </c>
      <c r="B1145" t="s">
        <v>20</v>
      </c>
      <c r="C1145" t="s">
        <v>30</v>
      </c>
      <c r="D1145">
        <v>3</v>
      </c>
      <c r="E1145">
        <v>37.130000000000003</v>
      </c>
      <c r="F1145" t="str">
        <f t="shared" si="34"/>
        <v>2024-05</v>
      </c>
      <c r="G1145">
        <f t="shared" si="35"/>
        <v>111.39000000000001</v>
      </c>
      <c r="H1145" s="2">
        <v>45424.857630524908</v>
      </c>
      <c r="I1145" t="s">
        <v>31</v>
      </c>
      <c r="J1145" t="s">
        <v>2333</v>
      </c>
    </row>
    <row r="1146" spans="1:10" x14ac:dyDescent="0.3">
      <c r="A1146" t="s">
        <v>2334</v>
      </c>
      <c r="B1146" t="s">
        <v>27</v>
      </c>
      <c r="C1146" t="s">
        <v>28</v>
      </c>
      <c r="D1146">
        <v>2</v>
      </c>
      <c r="E1146">
        <v>40.090000000000003</v>
      </c>
      <c r="F1146" t="str">
        <f t="shared" si="34"/>
        <v>2024-04</v>
      </c>
      <c r="G1146">
        <f t="shared" si="35"/>
        <v>80.180000000000007</v>
      </c>
      <c r="H1146" s="2">
        <v>45390.857630524908</v>
      </c>
      <c r="I1146" t="s">
        <v>33</v>
      </c>
      <c r="J1146" t="s">
        <v>2335</v>
      </c>
    </row>
    <row r="1147" spans="1:10" x14ac:dyDescent="0.3">
      <c r="A1147" t="s">
        <v>2336</v>
      </c>
      <c r="B1147" t="s">
        <v>17</v>
      </c>
      <c r="C1147" t="s">
        <v>29</v>
      </c>
      <c r="D1147">
        <v>2</v>
      </c>
      <c r="E1147">
        <v>59.18</v>
      </c>
      <c r="F1147" t="str">
        <f t="shared" si="34"/>
        <v>2024-10</v>
      </c>
      <c r="G1147">
        <f t="shared" si="35"/>
        <v>118.36</v>
      </c>
      <c r="H1147" s="2">
        <v>45579.857630524908</v>
      </c>
      <c r="I1147" t="s">
        <v>33</v>
      </c>
      <c r="J1147" t="s">
        <v>2337</v>
      </c>
    </row>
    <row r="1148" spans="1:10" x14ac:dyDescent="0.3">
      <c r="A1148" t="s">
        <v>2338</v>
      </c>
      <c r="B1148" t="s">
        <v>24</v>
      </c>
      <c r="C1148" t="s">
        <v>28</v>
      </c>
      <c r="D1148">
        <v>4</v>
      </c>
      <c r="E1148">
        <v>46.59</v>
      </c>
      <c r="F1148" t="str">
        <f t="shared" si="34"/>
        <v>2024-12</v>
      </c>
      <c r="G1148">
        <f t="shared" si="35"/>
        <v>186.36</v>
      </c>
      <c r="H1148" s="2">
        <v>45648.857630524908</v>
      </c>
      <c r="I1148" t="s">
        <v>31</v>
      </c>
      <c r="J1148" t="s">
        <v>2339</v>
      </c>
    </row>
    <row r="1149" spans="1:10" x14ac:dyDescent="0.3">
      <c r="A1149" t="s">
        <v>2340</v>
      </c>
      <c r="B1149" t="s">
        <v>26</v>
      </c>
      <c r="C1149" t="s">
        <v>28</v>
      </c>
      <c r="D1149">
        <v>2</v>
      </c>
      <c r="E1149">
        <v>39.520000000000003</v>
      </c>
      <c r="F1149" t="str">
        <f t="shared" si="34"/>
        <v>2024-04</v>
      </c>
      <c r="G1149">
        <f t="shared" si="35"/>
        <v>79.040000000000006</v>
      </c>
      <c r="H1149" s="2">
        <v>45394.857630524908</v>
      </c>
      <c r="I1149" t="s">
        <v>34</v>
      </c>
      <c r="J1149" t="s">
        <v>2341</v>
      </c>
    </row>
    <row r="1150" spans="1:10" x14ac:dyDescent="0.3">
      <c r="A1150" t="s">
        <v>2342</v>
      </c>
      <c r="B1150" t="s">
        <v>24</v>
      </c>
      <c r="C1150" t="s">
        <v>28</v>
      </c>
      <c r="D1150">
        <v>1</v>
      </c>
      <c r="E1150">
        <v>11.93</v>
      </c>
      <c r="F1150" t="str">
        <f t="shared" si="34"/>
        <v>2025-02</v>
      </c>
      <c r="G1150">
        <f t="shared" si="35"/>
        <v>11.93</v>
      </c>
      <c r="H1150" s="2">
        <v>45706.857630524908</v>
      </c>
      <c r="I1150" t="s">
        <v>32</v>
      </c>
      <c r="J1150" t="s">
        <v>2343</v>
      </c>
    </row>
    <row r="1151" spans="1:10" x14ac:dyDescent="0.3">
      <c r="A1151" t="s">
        <v>2344</v>
      </c>
      <c r="B1151" t="s">
        <v>18</v>
      </c>
      <c r="C1151" t="s">
        <v>29</v>
      </c>
      <c r="D1151">
        <v>1</v>
      </c>
      <c r="E1151">
        <v>19.97</v>
      </c>
      <c r="F1151" t="str">
        <f t="shared" si="34"/>
        <v>2025-01</v>
      </c>
      <c r="G1151">
        <f t="shared" si="35"/>
        <v>19.97</v>
      </c>
      <c r="H1151" s="2">
        <v>45659.857630524908</v>
      </c>
      <c r="I1151" t="s">
        <v>31</v>
      </c>
      <c r="J1151" t="s">
        <v>2345</v>
      </c>
    </row>
    <row r="1152" spans="1:10" x14ac:dyDescent="0.3">
      <c r="A1152" t="s">
        <v>2346</v>
      </c>
      <c r="B1152" t="s">
        <v>17</v>
      </c>
      <c r="C1152" t="s">
        <v>29</v>
      </c>
      <c r="D1152">
        <v>3</v>
      </c>
      <c r="E1152">
        <v>24.13</v>
      </c>
      <c r="F1152" t="str">
        <f t="shared" si="34"/>
        <v>2024-12</v>
      </c>
      <c r="G1152">
        <f t="shared" si="35"/>
        <v>72.39</v>
      </c>
      <c r="H1152" s="2">
        <v>45656.857630524908</v>
      </c>
      <c r="I1152" t="s">
        <v>34</v>
      </c>
      <c r="J1152" t="s">
        <v>2347</v>
      </c>
    </row>
    <row r="1153" spans="1:10" x14ac:dyDescent="0.3">
      <c r="A1153" t="s">
        <v>2348</v>
      </c>
      <c r="B1153" t="s">
        <v>26</v>
      </c>
      <c r="C1153" t="s">
        <v>28</v>
      </c>
      <c r="D1153">
        <v>2</v>
      </c>
      <c r="E1153">
        <v>15.9</v>
      </c>
      <c r="F1153" t="str">
        <f t="shared" si="34"/>
        <v>2024-11</v>
      </c>
      <c r="G1153">
        <f t="shared" si="35"/>
        <v>31.8</v>
      </c>
      <c r="H1153" s="2">
        <v>45619.857630524908</v>
      </c>
      <c r="I1153" t="s">
        <v>33</v>
      </c>
      <c r="J1153" t="s">
        <v>2349</v>
      </c>
    </row>
    <row r="1154" spans="1:10" x14ac:dyDescent="0.3">
      <c r="A1154" t="s">
        <v>2350</v>
      </c>
      <c r="B1154" t="s">
        <v>16</v>
      </c>
      <c r="C1154" t="s">
        <v>29</v>
      </c>
      <c r="D1154">
        <v>3</v>
      </c>
      <c r="E1154">
        <v>40.6</v>
      </c>
      <c r="F1154" t="str">
        <f t="shared" si="34"/>
        <v>2024-04</v>
      </c>
      <c r="G1154">
        <f t="shared" si="35"/>
        <v>121.80000000000001</v>
      </c>
      <c r="H1154" s="2">
        <v>45411.857630524908</v>
      </c>
      <c r="I1154" t="s">
        <v>35</v>
      </c>
      <c r="J1154" t="s">
        <v>2351</v>
      </c>
    </row>
    <row r="1155" spans="1:10" x14ac:dyDescent="0.3">
      <c r="A1155" t="s">
        <v>2352</v>
      </c>
      <c r="B1155" t="s">
        <v>16</v>
      </c>
      <c r="C1155" t="s">
        <v>29</v>
      </c>
      <c r="D1155">
        <v>4</v>
      </c>
      <c r="E1155">
        <v>51.17</v>
      </c>
      <c r="F1155" t="str">
        <f t="shared" ref="F1155:F1218" si="36">TEXT(H1155, "yyyy-mm")</f>
        <v>2024-08</v>
      </c>
      <c r="G1155">
        <f t="shared" ref="G1155:G1218" si="37">D1155*E1155</f>
        <v>204.68</v>
      </c>
      <c r="H1155" s="2">
        <v>45522.857630524908</v>
      </c>
      <c r="I1155" t="s">
        <v>35</v>
      </c>
      <c r="J1155" t="s">
        <v>2353</v>
      </c>
    </row>
    <row r="1156" spans="1:10" x14ac:dyDescent="0.3">
      <c r="A1156" t="s">
        <v>2354</v>
      </c>
      <c r="B1156" t="s">
        <v>16</v>
      </c>
      <c r="C1156" t="s">
        <v>29</v>
      </c>
      <c r="D1156">
        <v>2</v>
      </c>
      <c r="E1156">
        <v>21.78</v>
      </c>
      <c r="F1156" t="str">
        <f t="shared" si="36"/>
        <v>2024-06</v>
      </c>
      <c r="G1156">
        <f t="shared" si="37"/>
        <v>43.56</v>
      </c>
      <c r="H1156" s="2">
        <v>45449.857630524908</v>
      </c>
      <c r="I1156" t="s">
        <v>31</v>
      </c>
      <c r="J1156" t="s">
        <v>2355</v>
      </c>
    </row>
    <row r="1157" spans="1:10" x14ac:dyDescent="0.3">
      <c r="A1157" t="s">
        <v>2356</v>
      </c>
      <c r="B1157" t="s">
        <v>27</v>
      </c>
      <c r="C1157" t="s">
        <v>28</v>
      </c>
      <c r="D1157">
        <v>5</v>
      </c>
      <c r="E1157">
        <v>17.72</v>
      </c>
      <c r="F1157" t="str">
        <f t="shared" si="36"/>
        <v>2024-12</v>
      </c>
      <c r="G1157">
        <f t="shared" si="37"/>
        <v>88.6</v>
      </c>
      <c r="H1157" s="2">
        <v>45646.857630524908</v>
      </c>
      <c r="I1157" t="s">
        <v>33</v>
      </c>
      <c r="J1157" t="s">
        <v>2357</v>
      </c>
    </row>
    <row r="1158" spans="1:10" x14ac:dyDescent="0.3">
      <c r="A1158" t="s">
        <v>2358</v>
      </c>
      <c r="B1158" t="s">
        <v>17</v>
      </c>
      <c r="C1158" t="s">
        <v>29</v>
      </c>
      <c r="D1158">
        <v>3</v>
      </c>
      <c r="E1158">
        <v>42.78</v>
      </c>
      <c r="F1158" t="str">
        <f t="shared" si="36"/>
        <v>2024-05</v>
      </c>
      <c r="G1158">
        <f t="shared" si="37"/>
        <v>128.34</v>
      </c>
      <c r="H1158" s="2">
        <v>45434.857630524908</v>
      </c>
      <c r="I1158" t="s">
        <v>34</v>
      </c>
      <c r="J1158" t="s">
        <v>2359</v>
      </c>
    </row>
    <row r="1159" spans="1:10" x14ac:dyDescent="0.3">
      <c r="A1159" t="s">
        <v>2360</v>
      </c>
      <c r="B1159" t="s">
        <v>22</v>
      </c>
      <c r="C1159" t="s">
        <v>30</v>
      </c>
      <c r="D1159">
        <v>1</v>
      </c>
      <c r="E1159">
        <v>37.21</v>
      </c>
      <c r="F1159" t="str">
        <f t="shared" si="36"/>
        <v>2024-07</v>
      </c>
      <c r="G1159">
        <f t="shared" si="37"/>
        <v>37.21</v>
      </c>
      <c r="H1159" s="2">
        <v>45485.857630524908</v>
      </c>
      <c r="I1159" t="s">
        <v>31</v>
      </c>
      <c r="J1159" t="s">
        <v>2361</v>
      </c>
    </row>
    <row r="1160" spans="1:10" x14ac:dyDescent="0.3">
      <c r="A1160" t="s">
        <v>2362</v>
      </c>
      <c r="B1160" t="s">
        <v>16</v>
      </c>
      <c r="C1160" t="s">
        <v>29</v>
      </c>
      <c r="D1160">
        <v>5</v>
      </c>
      <c r="E1160">
        <v>51.06</v>
      </c>
      <c r="F1160" t="str">
        <f t="shared" si="36"/>
        <v>2024-07</v>
      </c>
      <c r="G1160">
        <f t="shared" si="37"/>
        <v>255.3</v>
      </c>
      <c r="H1160" s="2">
        <v>45495.857630524908</v>
      </c>
      <c r="I1160" t="s">
        <v>35</v>
      </c>
      <c r="J1160" t="s">
        <v>2363</v>
      </c>
    </row>
    <row r="1161" spans="1:10" x14ac:dyDescent="0.3">
      <c r="A1161" t="s">
        <v>2364</v>
      </c>
      <c r="B1161" t="s">
        <v>16</v>
      </c>
      <c r="C1161" t="s">
        <v>29</v>
      </c>
      <c r="D1161">
        <v>4</v>
      </c>
      <c r="E1161">
        <v>56</v>
      </c>
      <c r="F1161" t="str">
        <f t="shared" si="36"/>
        <v>2024-09</v>
      </c>
      <c r="G1161">
        <f t="shared" si="37"/>
        <v>224</v>
      </c>
      <c r="H1161" s="2">
        <v>45548.857630524908</v>
      </c>
      <c r="I1161" t="s">
        <v>34</v>
      </c>
      <c r="J1161" t="s">
        <v>2365</v>
      </c>
    </row>
    <row r="1162" spans="1:10" x14ac:dyDescent="0.3">
      <c r="A1162" t="s">
        <v>2366</v>
      </c>
      <c r="B1162" t="s">
        <v>18</v>
      </c>
      <c r="C1162" t="s">
        <v>29</v>
      </c>
      <c r="D1162">
        <v>2</v>
      </c>
      <c r="E1162">
        <v>47.98</v>
      </c>
      <c r="F1162" t="str">
        <f t="shared" si="36"/>
        <v>2024-04</v>
      </c>
      <c r="G1162">
        <f t="shared" si="37"/>
        <v>95.96</v>
      </c>
      <c r="H1162" s="2">
        <v>45396.857630524908</v>
      </c>
      <c r="I1162" t="s">
        <v>31</v>
      </c>
      <c r="J1162" t="s">
        <v>2367</v>
      </c>
    </row>
    <row r="1163" spans="1:10" x14ac:dyDescent="0.3">
      <c r="A1163" t="s">
        <v>2368</v>
      </c>
      <c r="B1163" t="s">
        <v>22</v>
      </c>
      <c r="C1163" t="s">
        <v>30</v>
      </c>
      <c r="D1163">
        <v>5</v>
      </c>
      <c r="E1163">
        <v>46.67</v>
      </c>
      <c r="F1163" t="str">
        <f t="shared" si="36"/>
        <v>2025-02</v>
      </c>
      <c r="G1163">
        <f t="shared" si="37"/>
        <v>233.35000000000002</v>
      </c>
      <c r="H1163" s="2">
        <v>45705.857630524908</v>
      </c>
      <c r="I1163" t="s">
        <v>31</v>
      </c>
      <c r="J1163" t="s">
        <v>2369</v>
      </c>
    </row>
    <row r="1164" spans="1:10" x14ac:dyDescent="0.3">
      <c r="A1164" t="s">
        <v>2370</v>
      </c>
      <c r="B1164" t="s">
        <v>20</v>
      </c>
      <c r="C1164" t="s">
        <v>30</v>
      </c>
      <c r="D1164">
        <v>3</v>
      </c>
      <c r="E1164">
        <v>50.72</v>
      </c>
      <c r="F1164" t="str">
        <f t="shared" si="36"/>
        <v>2024-11</v>
      </c>
      <c r="G1164">
        <f t="shared" si="37"/>
        <v>152.16</v>
      </c>
      <c r="H1164" s="2">
        <v>45597.857630524908</v>
      </c>
      <c r="I1164" t="s">
        <v>35</v>
      </c>
      <c r="J1164" t="s">
        <v>2371</v>
      </c>
    </row>
    <row r="1165" spans="1:10" x14ac:dyDescent="0.3">
      <c r="A1165" t="s">
        <v>2372</v>
      </c>
      <c r="B1165" t="s">
        <v>16</v>
      </c>
      <c r="C1165" t="s">
        <v>29</v>
      </c>
      <c r="D1165">
        <v>5</v>
      </c>
      <c r="E1165">
        <v>45.98</v>
      </c>
      <c r="F1165" t="str">
        <f t="shared" si="36"/>
        <v>2024-12</v>
      </c>
      <c r="G1165">
        <f t="shared" si="37"/>
        <v>229.89999999999998</v>
      </c>
      <c r="H1165" s="2">
        <v>45631.857630524908</v>
      </c>
      <c r="I1165" t="s">
        <v>33</v>
      </c>
      <c r="J1165" t="s">
        <v>2373</v>
      </c>
    </row>
    <row r="1166" spans="1:10" x14ac:dyDescent="0.3">
      <c r="A1166" t="s">
        <v>2374</v>
      </c>
      <c r="B1166" t="s">
        <v>20</v>
      </c>
      <c r="C1166" t="s">
        <v>30</v>
      </c>
      <c r="D1166">
        <v>5</v>
      </c>
      <c r="E1166">
        <v>19.989999999999998</v>
      </c>
      <c r="F1166" t="str">
        <f t="shared" si="36"/>
        <v>2024-08</v>
      </c>
      <c r="G1166">
        <f t="shared" si="37"/>
        <v>99.949999999999989</v>
      </c>
      <c r="H1166" s="2">
        <v>45522.857630524908</v>
      </c>
      <c r="I1166" t="s">
        <v>35</v>
      </c>
      <c r="J1166" t="s">
        <v>2375</v>
      </c>
    </row>
    <row r="1167" spans="1:10" x14ac:dyDescent="0.3">
      <c r="A1167" t="s">
        <v>2376</v>
      </c>
      <c r="B1167" t="s">
        <v>23</v>
      </c>
      <c r="C1167" t="s">
        <v>28</v>
      </c>
      <c r="D1167">
        <v>3</v>
      </c>
      <c r="E1167">
        <v>31.39</v>
      </c>
      <c r="F1167" t="str">
        <f t="shared" si="36"/>
        <v>2024-12</v>
      </c>
      <c r="G1167">
        <f t="shared" si="37"/>
        <v>94.17</v>
      </c>
      <c r="H1167" s="2">
        <v>45649.857630524908</v>
      </c>
      <c r="I1167" t="s">
        <v>34</v>
      </c>
      <c r="J1167" t="s">
        <v>2377</v>
      </c>
    </row>
    <row r="1168" spans="1:10" x14ac:dyDescent="0.3">
      <c r="A1168" t="s">
        <v>2378</v>
      </c>
      <c r="B1168" t="s">
        <v>23</v>
      </c>
      <c r="C1168" t="s">
        <v>28</v>
      </c>
      <c r="D1168">
        <v>4</v>
      </c>
      <c r="E1168">
        <v>38.58</v>
      </c>
      <c r="F1168" t="str">
        <f t="shared" si="36"/>
        <v>2024-05</v>
      </c>
      <c r="G1168">
        <f t="shared" si="37"/>
        <v>154.32</v>
      </c>
      <c r="H1168" s="2">
        <v>45428.857630524908</v>
      </c>
      <c r="I1168" t="s">
        <v>34</v>
      </c>
      <c r="J1168" t="s">
        <v>2379</v>
      </c>
    </row>
    <row r="1169" spans="1:10" x14ac:dyDescent="0.3">
      <c r="A1169" t="s">
        <v>2380</v>
      </c>
      <c r="B1169" t="s">
        <v>23</v>
      </c>
      <c r="C1169" t="s">
        <v>28</v>
      </c>
      <c r="D1169">
        <v>4</v>
      </c>
      <c r="E1169">
        <v>27.59</v>
      </c>
      <c r="F1169" t="str">
        <f t="shared" si="36"/>
        <v>2025-02</v>
      </c>
      <c r="G1169">
        <f t="shared" si="37"/>
        <v>110.36</v>
      </c>
      <c r="H1169" s="2">
        <v>45689.857630524908</v>
      </c>
      <c r="I1169" t="s">
        <v>34</v>
      </c>
      <c r="J1169" t="s">
        <v>2381</v>
      </c>
    </row>
    <row r="1170" spans="1:10" x14ac:dyDescent="0.3">
      <c r="A1170" t="s">
        <v>2382</v>
      </c>
      <c r="B1170" t="s">
        <v>19</v>
      </c>
      <c r="C1170" t="s">
        <v>28</v>
      </c>
      <c r="D1170">
        <v>3</v>
      </c>
      <c r="E1170">
        <v>42</v>
      </c>
      <c r="F1170" t="str">
        <f t="shared" si="36"/>
        <v>2024-09</v>
      </c>
      <c r="G1170">
        <f t="shared" si="37"/>
        <v>126</v>
      </c>
      <c r="H1170" s="2">
        <v>45557.857630524908</v>
      </c>
      <c r="I1170" t="s">
        <v>35</v>
      </c>
      <c r="J1170" t="s">
        <v>2383</v>
      </c>
    </row>
    <row r="1171" spans="1:10" x14ac:dyDescent="0.3">
      <c r="A1171" t="s">
        <v>2384</v>
      </c>
      <c r="B1171" t="s">
        <v>22</v>
      </c>
      <c r="C1171" t="s">
        <v>30</v>
      </c>
      <c r="D1171">
        <v>4</v>
      </c>
      <c r="E1171">
        <v>43.88</v>
      </c>
      <c r="F1171" t="str">
        <f t="shared" si="36"/>
        <v>2025-03</v>
      </c>
      <c r="G1171">
        <f t="shared" si="37"/>
        <v>175.52</v>
      </c>
      <c r="H1171" s="2">
        <v>45735.857630524908</v>
      </c>
      <c r="I1171" t="s">
        <v>31</v>
      </c>
      <c r="J1171" t="s">
        <v>2385</v>
      </c>
    </row>
    <row r="1172" spans="1:10" x14ac:dyDescent="0.3">
      <c r="A1172" t="s">
        <v>2386</v>
      </c>
      <c r="B1172" t="s">
        <v>26</v>
      </c>
      <c r="C1172" t="s">
        <v>28</v>
      </c>
      <c r="D1172">
        <v>3</v>
      </c>
      <c r="E1172">
        <v>46.64</v>
      </c>
      <c r="F1172" t="str">
        <f t="shared" si="36"/>
        <v>2024-09</v>
      </c>
      <c r="G1172">
        <f t="shared" si="37"/>
        <v>139.92000000000002</v>
      </c>
      <c r="H1172" s="2">
        <v>45554.857630524908</v>
      </c>
      <c r="I1172" t="s">
        <v>33</v>
      </c>
      <c r="J1172" t="s">
        <v>2387</v>
      </c>
    </row>
    <row r="1173" spans="1:10" x14ac:dyDescent="0.3">
      <c r="A1173" t="s">
        <v>2388</v>
      </c>
      <c r="B1173" t="s">
        <v>16</v>
      </c>
      <c r="C1173" t="s">
        <v>29</v>
      </c>
      <c r="D1173">
        <v>2</v>
      </c>
      <c r="E1173">
        <v>31.27</v>
      </c>
      <c r="F1173" t="str">
        <f t="shared" si="36"/>
        <v>2024-05</v>
      </c>
      <c r="G1173">
        <f t="shared" si="37"/>
        <v>62.54</v>
      </c>
      <c r="H1173" s="2">
        <v>45415.857630524908</v>
      </c>
      <c r="I1173" t="s">
        <v>32</v>
      </c>
      <c r="J1173" t="s">
        <v>2389</v>
      </c>
    </row>
    <row r="1174" spans="1:10" x14ac:dyDescent="0.3">
      <c r="A1174" t="s">
        <v>2390</v>
      </c>
      <c r="B1174" t="s">
        <v>17</v>
      </c>
      <c r="C1174" t="s">
        <v>29</v>
      </c>
      <c r="D1174">
        <v>3</v>
      </c>
      <c r="E1174">
        <v>39.31</v>
      </c>
      <c r="F1174" t="str">
        <f t="shared" si="36"/>
        <v>2025-02</v>
      </c>
      <c r="G1174">
        <f t="shared" si="37"/>
        <v>117.93</v>
      </c>
      <c r="H1174" s="2">
        <v>45714.857630524908</v>
      </c>
      <c r="I1174" t="s">
        <v>35</v>
      </c>
      <c r="J1174" t="s">
        <v>2391</v>
      </c>
    </row>
    <row r="1175" spans="1:10" x14ac:dyDescent="0.3">
      <c r="A1175" t="s">
        <v>2392</v>
      </c>
      <c r="B1175" t="s">
        <v>22</v>
      </c>
      <c r="C1175" t="s">
        <v>30</v>
      </c>
      <c r="D1175">
        <v>4</v>
      </c>
      <c r="E1175">
        <v>23.77</v>
      </c>
      <c r="F1175" t="str">
        <f t="shared" si="36"/>
        <v>2024-07</v>
      </c>
      <c r="G1175">
        <f t="shared" si="37"/>
        <v>95.08</v>
      </c>
      <c r="H1175" s="2">
        <v>45480.857630524908</v>
      </c>
      <c r="I1175" t="s">
        <v>34</v>
      </c>
      <c r="J1175" t="s">
        <v>2393</v>
      </c>
    </row>
    <row r="1176" spans="1:10" x14ac:dyDescent="0.3">
      <c r="A1176" t="s">
        <v>2394</v>
      </c>
      <c r="B1176" t="s">
        <v>21</v>
      </c>
      <c r="C1176" t="s">
        <v>30</v>
      </c>
      <c r="D1176">
        <v>3</v>
      </c>
      <c r="E1176">
        <v>37.299999999999997</v>
      </c>
      <c r="F1176" t="str">
        <f t="shared" si="36"/>
        <v>2024-07</v>
      </c>
      <c r="G1176">
        <f t="shared" si="37"/>
        <v>111.89999999999999</v>
      </c>
      <c r="H1176" s="2">
        <v>45501.857630524908</v>
      </c>
      <c r="I1176" t="s">
        <v>31</v>
      </c>
      <c r="J1176" t="s">
        <v>2395</v>
      </c>
    </row>
    <row r="1177" spans="1:10" x14ac:dyDescent="0.3">
      <c r="A1177" t="s">
        <v>2396</v>
      </c>
      <c r="B1177" t="s">
        <v>25</v>
      </c>
      <c r="C1177" t="s">
        <v>30</v>
      </c>
      <c r="D1177">
        <v>2</v>
      </c>
      <c r="E1177">
        <v>55.94</v>
      </c>
      <c r="F1177" t="str">
        <f t="shared" si="36"/>
        <v>2025-03</v>
      </c>
      <c r="G1177">
        <f t="shared" si="37"/>
        <v>111.88</v>
      </c>
      <c r="H1177" s="2">
        <v>45741.857630524908</v>
      </c>
      <c r="I1177" t="s">
        <v>33</v>
      </c>
      <c r="J1177" t="s">
        <v>2397</v>
      </c>
    </row>
    <row r="1178" spans="1:10" x14ac:dyDescent="0.3">
      <c r="A1178" t="s">
        <v>2398</v>
      </c>
      <c r="B1178" t="s">
        <v>22</v>
      </c>
      <c r="C1178" t="s">
        <v>30</v>
      </c>
      <c r="D1178">
        <v>5</v>
      </c>
      <c r="E1178">
        <v>17.34</v>
      </c>
      <c r="F1178" t="str">
        <f t="shared" si="36"/>
        <v>2025-01</v>
      </c>
      <c r="G1178">
        <f t="shared" si="37"/>
        <v>86.7</v>
      </c>
      <c r="H1178" s="2">
        <v>45674.857630524908</v>
      </c>
      <c r="I1178" t="s">
        <v>31</v>
      </c>
      <c r="J1178" t="s">
        <v>2399</v>
      </c>
    </row>
    <row r="1179" spans="1:10" x14ac:dyDescent="0.3">
      <c r="A1179" t="s">
        <v>2400</v>
      </c>
      <c r="B1179" t="s">
        <v>20</v>
      </c>
      <c r="C1179" t="s">
        <v>30</v>
      </c>
      <c r="D1179">
        <v>1</v>
      </c>
      <c r="E1179">
        <v>56.08</v>
      </c>
      <c r="F1179" t="str">
        <f t="shared" si="36"/>
        <v>2024-09</v>
      </c>
      <c r="G1179">
        <f t="shared" si="37"/>
        <v>56.08</v>
      </c>
      <c r="H1179" s="2">
        <v>45547.857630524908</v>
      </c>
      <c r="I1179" t="s">
        <v>32</v>
      </c>
      <c r="J1179" t="s">
        <v>2401</v>
      </c>
    </row>
    <row r="1180" spans="1:10" x14ac:dyDescent="0.3">
      <c r="A1180" t="s">
        <v>2402</v>
      </c>
      <c r="B1180" t="s">
        <v>19</v>
      </c>
      <c r="C1180" t="s">
        <v>28</v>
      </c>
      <c r="D1180">
        <v>3</v>
      </c>
      <c r="E1180">
        <v>49.31</v>
      </c>
      <c r="F1180" t="str">
        <f t="shared" si="36"/>
        <v>2024-08</v>
      </c>
      <c r="G1180">
        <f t="shared" si="37"/>
        <v>147.93</v>
      </c>
      <c r="H1180" s="2">
        <v>45520.857630524908</v>
      </c>
      <c r="I1180" t="s">
        <v>32</v>
      </c>
      <c r="J1180" t="s">
        <v>2403</v>
      </c>
    </row>
    <row r="1181" spans="1:10" x14ac:dyDescent="0.3">
      <c r="A1181" t="s">
        <v>2404</v>
      </c>
      <c r="B1181" t="s">
        <v>23</v>
      </c>
      <c r="C1181" t="s">
        <v>28</v>
      </c>
      <c r="D1181">
        <v>4</v>
      </c>
      <c r="E1181">
        <v>57.08</v>
      </c>
      <c r="F1181" t="str">
        <f t="shared" si="36"/>
        <v>2024-07</v>
      </c>
      <c r="G1181">
        <f t="shared" si="37"/>
        <v>228.32</v>
      </c>
      <c r="H1181" s="2">
        <v>45501.857630524908</v>
      </c>
      <c r="I1181" t="s">
        <v>34</v>
      </c>
      <c r="J1181" t="s">
        <v>2405</v>
      </c>
    </row>
    <row r="1182" spans="1:10" x14ac:dyDescent="0.3">
      <c r="A1182" t="s">
        <v>2406</v>
      </c>
      <c r="B1182" t="s">
        <v>20</v>
      </c>
      <c r="C1182" t="s">
        <v>30</v>
      </c>
      <c r="D1182">
        <v>1</v>
      </c>
      <c r="E1182">
        <v>41.93</v>
      </c>
      <c r="F1182" t="str">
        <f t="shared" si="36"/>
        <v>2024-06</v>
      </c>
      <c r="G1182">
        <f t="shared" si="37"/>
        <v>41.93</v>
      </c>
      <c r="H1182" s="2">
        <v>45459.857630524908</v>
      </c>
      <c r="I1182" t="s">
        <v>33</v>
      </c>
      <c r="J1182" t="s">
        <v>2407</v>
      </c>
    </row>
    <row r="1183" spans="1:10" x14ac:dyDescent="0.3">
      <c r="A1183" t="s">
        <v>2408</v>
      </c>
      <c r="B1183" t="s">
        <v>27</v>
      </c>
      <c r="C1183" t="s">
        <v>28</v>
      </c>
      <c r="D1183">
        <v>2</v>
      </c>
      <c r="E1183">
        <v>41.63</v>
      </c>
      <c r="F1183" t="str">
        <f t="shared" si="36"/>
        <v>2024-06</v>
      </c>
      <c r="G1183">
        <f t="shared" si="37"/>
        <v>83.26</v>
      </c>
      <c r="H1183" s="2">
        <v>45469.857630524908</v>
      </c>
      <c r="I1183" t="s">
        <v>34</v>
      </c>
      <c r="J1183" t="s">
        <v>2409</v>
      </c>
    </row>
    <row r="1184" spans="1:10" x14ac:dyDescent="0.3">
      <c r="A1184" t="s">
        <v>2410</v>
      </c>
      <c r="B1184" t="s">
        <v>22</v>
      </c>
      <c r="C1184" t="s">
        <v>30</v>
      </c>
      <c r="D1184">
        <v>3</v>
      </c>
      <c r="E1184">
        <v>55.71</v>
      </c>
      <c r="F1184" t="str">
        <f t="shared" si="36"/>
        <v>2025-01</v>
      </c>
      <c r="G1184">
        <f t="shared" si="37"/>
        <v>167.13</v>
      </c>
      <c r="H1184" s="2">
        <v>45666.857630524908</v>
      </c>
      <c r="I1184" t="s">
        <v>32</v>
      </c>
      <c r="J1184" t="s">
        <v>2411</v>
      </c>
    </row>
    <row r="1185" spans="1:10" x14ac:dyDescent="0.3">
      <c r="A1185" t="s">
        <v>2412</v>
      </c>
      <c r="B1185" t="s">
        <v>26</v>
      </c>
      <c r="C1185" t="s">
        <v>28</v>
      </c>
      <c r="D1185">
        <v>3</v>
      </c>
      <c r="E1185">
        <v>40.409999999999997</v>
      </c>
      <c r="F1185" t="str">
        <f t="shared" si="36"/>
        <v>2024-10</v>
      </c>
      <c r="G1185">
        <f t="shared" si="37"/>
        <v>121.22999999999999</v>
      </c>
      <c r="H1185" s="2">
        <v>45583.857630524908</v>
      </c>
      <c r="I1185" t="s">
        <v>33</v>
      </c>
      <c r="J1185" t="s">
        <v>2413</v>
      </c>
    </row>
    <row r="1186" spans="1:10" x14ac:dyDescent="0.3">
      <c r="A1186" t="s">
        <v>2414</v>
      </c>
      <c r="B1186" t="s">
        <v>18</v>
      </c>
      <c r="C1186" t="s">
        <v>29</v>
      </c>
      <c r="D1186">
        <v>3</v>
      </c>
      <c r="E1186">
        <v>46.35</v>
      </c>
      <c r="F1186" t="str">
        <f t="shared" si="36"/>
        <v>2024-08</v>
      </c>
      <c r="G1186">
        <f t="shared" si="37"/>
        <v>139.05000000000001</v>
      </c>
      <c r="H1186" s="2">
        <v>45508.857630524908</v>
      </c>
      <c r="I1186" t="s">
        <v>33</v>
      </c>
      <c r="J1186" t="s">
        <v>2415</v>
      </c>
    </row>
    <row r="1187" spans="1:10" x14ac:dyDescent="0.3">
      <c r="A1187" t="s">
        <v>2416</v>
      </c>
      <c r="B1187" t="s">
        <v>17</v>
      </c>
      <c r="C1187" t="s">
        <v>29</v>
      </c>
      <c r="D1187">
        <v>5</v>
      </c>
      <c r="E1187">
        <v>55.31</v>
      </c>
      <c r="F1187" t="str">
        <f t="shared" si="36"/>
        <v>2024-11</v>
      </c>
      <c r="G1187">
        <f t="shared" si="37"/>
        <v>276.55</v>
      </c>
      <c r="H1187" s="2">
        <v>45601.857630524908</v>
      </c>
      <c r="I1187" t="s">
        <v>35</v>
      </c>
      <c r="J1187" t="s">
        <v>2417</v>
      </c>
    </row>
    <row r="1188" spans="1:10" x14ac:dyDescent="0.3">
      <c r="A1188" t="s">
        <v>2418</v>
      </c>
      <c r="B1188" t="s">
        <v>17</v>
      </c>
      <c r="C1188" t="s">
        <v>29</v>
      </c>
      <c r="D1188">
        <v>2</v>
      </c>
      <c r="E1188">
        <v>33.979999999999997</v>
      </c>
      <c r="F1188" t="str">
        <f t="shared" si="36"/>
        <v>2024-08</v>
      </c>
      <c r="G1188">
        <f t="shared" si="37"/>
        <v>67.959999999999994</v>
      </c>
      <c r="H1188" s="2">
        <v>45517.857630524908</v>
      </c>
      <c r="I1188" t="s">
        <v>32</v>
      </c>
      <c r="J1188" t="s">
        <v>2419</v>
      </c>
    </row>
    <row r="1189" spans="1:10" x14ac:dyDescent="0.3">
      <c r="A1189" t="s">
        <v>2420</v>
      </c>
      <c r="B1189" t="s">
        <v>16</v>
      </c>
      <c r="C1189" t="s">
        <v>29</v>
      </c>
      <c r="D1189">
        <v>4</v>
      </c>
      <c r="E1189">
        <v>59.19</v>
      </c>
      <c r="F1189" t="str">
        <f t="shared" si="36"/>
        <v>2024-06</v>
      </c>
      <c r="G1189">
        <f t="shared" si="37"/>
        <v>236.76</v>
      </c>
      <c r="H1189" s="2">
        <v>45472.857630524908</v>
      </c>
      <c r="I1189" t="s">
        <v>31</v>
      </c>
      <c r="J1189" t="s">
        <v>2421</v>
      </c>
    </row>
    <row r="1190" spans="1:10" x14ac:dyDescent="0.3">
      <c r="A1190" t="s">
        <v>2422</v>
      </c>
      <c r="B1190" t="s">
        <v>25</v>
      </c>
      <c r="C1190" t="s">
        <v>30</v>
      </c>
      <c r="D1190">
        <v>2</v>
      </c>
      <c r="E1190">
        <v>52.07</v>
      </c>
      <c r="F1190" t="str">
        <f t="shared" si="36"/>
        <v>2025-02</v>
      </c>
      <c r="G1190">
        <f t="shared" si="37"/>
        <v>104.14</v>
      </c>
      <c r="H1190" s="2">
        <v>45698.857630524908</v>
      </c>
      <c r="I1190" t="s">
        <v>33</v>
      </c>
      <c r="J1190" t="s">
        <v>2423</v>
      </c>
    </row>
    <row r="1191" spans="1:10" x14ac:dyDescent="0.3">
      <c r="A1191" t="s">
        <v>2424</v>
      </c>
      <c r="B1191" t="s">
        <v>20</v>
      </c>
      <c r="C1191" t="s">
        <v>30</v>
      </c>
      <c r="D1191">
        <v>2</v>
      </c>
      <c r="E1191">
        <v>59.69</v>
      </c>
      <c r="F1191" t="str">
        <f t="shared" si="36"/>
        <v>2025-02</v>
      </c>
      <c r="G1191">
        <f t="shared" si="37"/>
        <v>119.38</v>
      </c>
      <c r="H1191" s="2">
        <v>45693.857630524908</v>
      </c>
      <c r="I1191" t="s">
        <v>34</v>
      </c>
      <c r="J1191" t="s">
        <v>2425</v>
      </c>
    </row>
    <row r="1192" spans="1:10" x14ac:dyDescent="0.3">
      <c r="A1192" t="s">
        <v>2426</v>
      </c>
      <c r="B1192" t="s">
        <v>16</v>
      </c>
      <c r="C1192" t="s">
        <v>29</v>
      </c>
      <c r="D1192">
        <v>2</v>
      </c>
      <c r="E1192">
        <v>10.48</v>
      </c>
      <c r="F1192" t="str">
        <f t="shared" si="36"/>
        <v>2024-08</v>
      </c>
      <c r="G1192">
        <f t="shared" si="37"/>
        <v>20.96</v>
      </c>
      <c r="H1192" s="2">
        <v>45512.857630524908</v>
      </c>
      <c r="I1192" t="s">
        <v>35</v>
      </c>
      <c r="J1192" t="s">
        <v>2427</v>
      </c>
    </row>
    <row r="1193" spans="1:10" x14ac:dyDescent="0.3">
      <c r="A1193" t="s">
        <v>2428</v>
      </c>
      <c r="B1193" t="s">
        <v>17</v>
      </c>
      <c r="C1193" t="s">
        <v>29</v>
      </c>
      <c r="D1193">
        <v>3</v>
      </c>
      <c r="E1193">
        <v>54.84</v>
      </c>
      <c r="F1193" t="str">
        <f t="shared" si="36"/>
        <v>2024-11</v>
      </c>
      <c r="G1193">
        <f t="shared" si="37"/>
        <v>164.52</v>
      </c>
      <c r="H1193" s="2">
        <v>45601.857630524908</v>
      </c>
      <c r="I1193" t="s">
        <v>33</v>
      </c>
      <c r="J1193" t="s">
        <v>2429</v>
      </c>
    </row>
    <row r="1194" spans="1:10" x14ac:dyDescent="0.3">
      <c r="A1194" t="s">
        <v>2430</v>
      </c>
      <c r="B1194" t="s">
        <v>27</v>
      </c>
      <c r="C1194" t="s">
        <v>28</v>
      </c>
      <c r="D1194">
        <v>4</v>
      </c>
      <c r="E1194">
        <v>32.78</v>
      </c>
      <c r="F1194" t="str">
        <f t="shared" si="36"/>
        <v>2024-12</v>
      </c>
      <c r="G1194">
        <f t="shared" si="37"/>
        <v>131.12</v>
      </c>
      <c r="H1194" s="2">
        <v>45642.857630524908</v>
      </c>
      <c r="I1194" t="s">
        <v>34</v>
      </c>
      <c r="J1194" t="s">
        <v>2431</v>
      </c>
    </row>
    <row r="1195" spans="1:10" x14ac:dyDescent="0.3">
      <c r="A1195" t="s">
        <v>2432</v>
      </c>
      <c r="B1195" t="s">
        <v>16</v>
      </c>
      <c r="C1195" t="s">
        <v>29</v>
      </c>
      <c r="D1195">
        <v>4</v>
      </c>
      <c r="E1195">
        <v>43.48</v>
      </c>
      <c r="F1195" t="str">
        <f t="shared" si="36"/>
        <v>2024-07</v>
      </c>
      <c r="G1195">
        <f t="shared" si="37"/>
        <v>173.92</v>
      </c>
      <c r="H1195" s="2">
        <v>45500.857630524908</v>
      </c>
      <c r="I1195" t="s">
        <v>32</v>
      </c>
      <c r="J1195" t="s">
        <v>2433</v>
      </c>
    </row>
    <row r="1196" spans="1:10" x14ac:dyDescent="0.3">
      <c r="A1196" t="s">
        <v>2434</v>
      </c>
      <c r="B1196" t="s">
        <v>23</v>
      </c>
      <c r="C1196" t="s">
        <v>28</v>
      </c>
      <c r="D1196">
        <v>1</v>
      </c>
      <c r="E1196">
        <v>54.3</v>
      </c>
      <c r="F1196" t="str">
        <f t="shared" si="36"/>
        <v>2024-07</v>
      </c>
      <c r="G1196">
        <f t="shared" si="37"/>
        <v>54.3</v>
      </c>
      <c r="H1196" s="2">
        <v>45477.857630524908</v>
      </c>
      <c r="I1196" t="s">
        <v>32</v>
      </c>
      <c r="J1196" t="s">
        <v>2435</v>
      </c>
    </row>
    <row r="1197" spans="1:10" x14ac:dyDescent="0.3">
      <c r="A1197" t="s">
        <v>2436</v>
      </c>
      <c r="B1197" t="s">
        <v>21</v>
      </c>
      <c r="C1197" t="s">
        <v>30</v>
      </c>
      <c r="D1197">
        <v>2</v>
      </c>
      <c r="E1197">
        <v>44.64</v>
      </c>
      <c r="F1197" t="str">
        <f t="shared" si="36"/>
        <v>2024-07</v>
      </c>
      <c r="G1197">
        <f t="shared" si="37"/>
        <v>89.28</v>
      </c>
      <c r="H1197" s="2">
        <v>45483.857630524908</v>
      </c>
      <c r="I1197" t="s">
        <v>32</v>
      </c>
      <c r="J1197" t="s">
        <v>2437</v>
      </c>
    </row>
    <row r="1198" spans="1:10" x14ac:dyDescent="0.3">
      <c r="A1198" t="s">
        <v>2438</v>
      </c>
      <c r="B1198" t="s">
        <v>16</v>
      </c>
      <c r="C1198" t="s">
        <v>29</v>
      </c>
      <c r="D1198">
        <v>4</v>
      </c>
      <c r="E1198">
        <v>10.42</v>
      </c>
      <c r="F1198" t="str">
        <f t="shared" si="36"/>
        <v>2024-11</v>
      </c>
      <c r="G1198">
        <f t="shared" si="37"/>
        <v>41.68</v>
      </c>
      <c r="H1198" s="2">
        <v>45600.857630524908</v>
      </c>
      <c r="I1198" t="s">
        <v>33</v>
      </c>
      <c r="J1198" t="s">
        <v>2439</v>
      </c>
    </row>
    <row r="1199" spans="1:10" x14ac:dyDescent="0.3">
      <c r="A1199" t="s">
        <v>2440</v>
      </c>
      <c r="B1199" t="s">
        <v>16</v>
      </c>
      <c r="C1199" t="s">
        <v>29</v>
      </c>
      <c r="D1199">
        <v>3</v>
      </c>
      <c r="E1199">
        <v>53.92</v>
      </c>
      <c r="F1199" t="str">
        <f t="shared" si="36"/>
        <v>2024-06</v>
      </c>
      <c r="G1199">
        <f t="shared" si="37"/>
        <v>161.76</v>
      </c>
      <c r="H1199" s="2">
        <v>45445.857630524908</v>
      </c>
      <c r="I1199" t="s">
        <v>32</v>
      </c>
      <c r="J1199" t="s">
        <v>2441</v>
      </c>
    </row>
    <row r="1200" spans="1:10" x14ac:dyDescent="0.3">
      <c r="A1200" t="s">
        <v>2442</v>
      </c>
      <c r="B1200" t="s">
        <v>16</v>
      </c>
      <c r="C1200" t="s">
        <v>29</v>
      </c>
      <c r="D1200">
        <v>4</v>
      </c>
      <c r="E1200">
        <v>35.9</v>
      </c>
      <c r="F1200" t="str">
        <f t="shared" si="36"/>
        <v>2024-10</v>
      </c>
      <c r="G1200">
        <f t="shared" si="37"/>
        <v>143.6</v>
      </c>
      <c r="H1200" s="2">
        <v>45584.857630524908</v>
      </c>
      <c r="I1200" t="s">
        <v>31</v>
      </c>
      <c r="J1200" t="s">
        <v>2443</v>
      </c>
    </row>
    <row r="1201" spans="1:10" x14ac:dyDescent="0.3">
      <c r="A1201" t="s">
        <v>2444</v>
      </c>
      <c r="B1201" t="s">
        <v>17</v>
      </c>
      <c r="C1201" t="s">
        <v>29</v>
      </c>
      <c r="D1201">
        <v>5</v>
      </c>
      <c r="E1201">
        <v>43.98</v>
      </c>
      <c r="F1201" t="str">
        <f t="shared" si="36"/>
        <v>2024-06</v>
      </c>
      <c r="G1201">
        <f t="shared" si="37"/>
        <v>219.89999999999998</v>
      </c>
      <c r="H1201" s="2">
        <v>45459.857630524908</v>
      </c>
      <c r="I1201" t="s">
        <v>32</v>
      </c>
      <c r="J1201" t="s">
        <v>2445</v>
      </c>
    </row>
    <row r="1202" spans="1:10" x14ac:dyDescent="0.3">
      <c r="A1202" t="s">
        <v>2446</v>
      </c>
      <c r="B1202" t="s">
        <v>18</v>
      </c>
      <c r="C1202" t="s">
        <v>29</v>
      </c>
      <c r="D1202">
        <v>1</v>
      </c>
      <c r="E1202">
        <v>14.95</v>
      </c>
      <c r="F1202" t="str">
        <f t="shared" si="36"/>
        <v>2025-03</v>
      </c>
      <c r="G1202">
        <f t="shared" si="37"/>
        <v>14.95</v>
      </c>
      <c r="H1202" s="2">
        <v>45746.857630524908</v>
      </c>
      <c r="I1202" t="s">
        <v>32</v>
      </c>
      <c r="J1202" t="s">
        <v>2447</v>
      </c>
    </row>
    <row r="1203" spans="1:10" x14ac:dyDescent="0.3">
      <c r="A1203" t="s">
        <v>2448</v>
      </c>
      <c r="B1203" t="s">
        <v>18</v>
      </c>
      <c r="C1203" t="s">
        <v>29</v>
      </c>
      <c r="D1203">
        <v>2</v>
      </c>
      <c r="E1203">
        <v>50.01</v>
      </c>
      <c r="F1203" t="str">
        <f t="shared" si="36"/>
        <v>2024-05</v>
      </c>
      <c r="G1203">
        <f t="shared" si="37"/>
        <v>100.02</v>
      </c>
      <c r="H1203" s="2">
        <v>45424.857630524908</v>
      </c>
      <c r="I1203" t="s">
        <v>32</v>
      </c>
      <c r="J1203" t="s">
        <v>2449</v>
      </c>
    </row>
    <row r="1204" spans="1:10" x14ac:dyDescent="0.3">
      <c r="A1204" t="s">
        <v>2450</v>
      </c>
      <c r="B1204" t="s">
        <v>23</v>
      </c>
      <c r="C1204" t="s">
        <v>28</v>
      </c>
      <c r="D1204">
        <v>3</v>
      </c>
      <c r="E1204">
        <v>13.41</v>
      </c>
      <c r="F1204" t="str">
        <f t="shared" si="36"/>
        <v>2025-02</v>
      </c>
      <c r="G1204">
        <f t="shared" si="37"/>
        <v>40.230000000000004</v>
      </c>
      <c r="H1204" s="2">
        <v>45695.857630524908</v>
      </c>
      <c r="I1204" t="s">
        <v>33</v>
      </c>
      <c r="J1204" t="s">
        <v>2451</v>
      </c>
    </row>
    <row r="1205" spans="1:10" x14ac:dyDescent="0.3">
      <c r="A1205" t="s">
        <v>2452</v>
      </c>
      <c r="B1205" t="s">
        <v>22</v>
      </c>
      <c r="C1205" t="s">
        <v>30</v>
      </c>
      <c r="D1205">
        <v>1</v>
      </c>
      <c r="E1205">
        <v>34.74</v>
      </c>
      <c r="F1205" t="str">
        <f t="shared" si="36"/>
        <v>2024-09</v>
      </c>
      <c r="G1205">
        <f t="shared" si="37"/>
        <v>34.74</v>
      </c>
      <c r="H1205" s="2">
        <v>45543.857630524908</v>
      </c>
      <c r="I1205" t="s">
        <v>31</v>
      </c>
      <c r="J1205" t="s">
        <v>2453</v>
      </c>
    </row>
    <row r="1206" spans="1:10" x14ac:dyDescent="0.3">
      <c r="A1206" t="s">
        <v>2454</v>
      </c>
      <c r="B1206" t="s">
        <v>22</v>
      </c>
      <c r="C1206" t="s">
        <v>30</v>
      </c>
      <c r="D1206">
        <v>2</v>
      </c>
      <c r="E1206">
        <v>18.21</v>
      </c>
      <c r="F1206" t="str">
        <f t="shared" si="36"/>
        <v>2024-08</v>
      </c>
      <c r="G1206">
        <f t="shared" si="37"/>
        <v>36.42</v>
      </c>
      <c r="H1206" s="2">
        <v>45516.857630524908</v>
      </c>
      <c r="I1206" t="s">
        <v>35</v>
      </c>
      <c r="J1206" t="s">
        <v>2455</v>
      </c>
    </row>
    <row r="1207" spans="1:10" x14ac:dyDescent="0.3">
      <c r="A1207" t="s">
        <v>2456</v>
      </c>
      <c r="B1207" t="s">
        <v>24</v>
      </c>
      <c r="C1207" t="s">
        <v>28</v>
      </c>
      <c r="D1207">
        <v>3</v>
      </c>
      <c r="E1207">
        <v>22.3</v>
      </c>
      <c r="F1207" t="str">
        <f t="shared" si="36"/>
        <v>2024-12</v>
      </c>
      <c r="G1207">
        <f t="shared" si="37"/>
        <v>66.900000000000006</v>
      </c>
      <c r="H1207" s="2">
        <v>45654.857630524908</v>
      </c>
      <c r="I1207" t="s">
        <v>35</v>
      </c>
      <c r="J1207" t="s">
        <v>2457</v>
      </c>
    </row>
    <row r="1208" spans="1:10" x14ac:dyDescent="0.3">
      <c r="A1208" t="s">
        <v>2458</v>
      </c>
      <c r="B1208" t="s">
        <v>18</v>
      </c>
      <c r="C1208" t="s">
        <v>29</v>
      </c>
      <c r="D1208">
        <v>5</v>
      </c>
      <c r="E1208">
        <v>43.67</v>
      </c>
      <c r="F1208" t="str">
        <f t="shared" si="36"/>
        <v>2024-05</v>
      </c>
      <c r="G1208">
        <f t="shared" si="37"/>
        <v>218.35000000000002</v>
      </c>
      <c r="H1208" s="2">
        <v>45422.857630524908</v>
      </c>
      <c r="I1208" t="s">
        <v>33</v>
      </c>
      <c r="J1208" t="s">
        <v>2459</v>
      </c>
    </row>
    <row r="1209" spans="1:10" x14ac:dyDescent="0.3">
      <c r="A1209" t="s">
        <v>2460</v>
      </c>
      <c r="B1209" t="s">
        <v>24</v>
      </c>
      <c r="C1209" t="s">
        <v>28</v>
      </c>
      <c r="D1209">
        <v>5</v>
      </c>
      <c r="E1209">
        <v>27.76</v>
      </c>
      <c r="F1209" t="str">
        <f t="shared" si="36"/>
        <v>2025-02</v>
      </c>
      <c r="G1209">
        <f t="shared" si="37"/>
        <v>138.80000000000001</v>
      </c>
      <c r="H1209" s="2">
        <v>45692.857630524908</v>
      </c>
      <c r="I1209" t="s">
        <v>31</v>
      </c>
      <c r="J1209" t="s">
        <v>2461</v>
      </c>
    </row>
    <row r="1210" spans="1:10" x14ac:dyDescent="0.3">
      <c r="A1210" t="s">
        <v>2462</v>
      </c>
      <c r="B1210" t="s">
        <v>27</v>
      </c>
      <c r="C1210" t="s">
        <v>28</v>
      </c>
      <c r="D1210">
        <v>3</v>
      </c>
      <c r="E1210">
        <v>39.090000000000003</v>
      </c>
      <c r="F1210" t="str">
        <f t="shared" si="36"/>
        <v>2024-10</v>
      </c>
      <c r="G1210">
        <f t="shared" si="37"/>
        <v>117.27000000000001</v>
      </c>
      <c r="H1210" s="2">
        <v>45575.857630524908</v>
      </c>
      <c r="I1210" t="s">
        <v>33</v>
      </c>
      <c r="J1210" t="s">
        <v>2463</v>
      </c>
    </row>
    <row r="1211" spans="1:10" x14ac:dyDescent="0.3">
      <c r="A1211" t="s">
        <v>2464</v>
      </c>
      <c r="B1211" t="s">
        <v>18</v>
      </c>
      <c r="C1211" t="s">
        <v>29</v>
      </c>
      <c r="D1211">
        <v>1</v>
      </c>
      <c r="E1211">
        <v>37.89</v>
      </c>
      <c r="F1211" t="str">
        <f t="shared" si="36"/>
        <v>2024-09</v>
      </c>
      <c r="G1211">
        <f t="shared" si="37"/>
        <v>37.89</v>
      </c>
      <c r="H1211" s="2">
        <v>45554.857630524908</v>
      </c>
      <c r="I1211" t="s">
        <v>31</v>
      </c>
      <c r="J1211" t="s">
        <v>2465</v>
      </c>
    </row>
    <row r="1212" spans="1:10" x14ac:dyDescent="0.3">
      <c r="A1212" t="s">
        <v>2466</v>
      </c>
      <c r="B1212" t="s">
        <v>21</v>
      </c>
      <c r="C1212" t="s">
        <v>30</v>
      </c>
      <c r="D1212">
        <v>5</v>
      </c>
      <c r="E1212">
        <v>25.88</v>
      </c>
      <c r="F1212" t="str">
        <f t="shared" si="36"/>
        <v>2024-08</v>
      </c>
      <c r="G1212">
        <f t="shared" si="37"/>
        <v>129.4</v>
      </c>
      <c r="H1212" s="2">
        <v>45518.857630524908</v>
      </c>
      <c r="I1212" t="s">
        <v>33</v>
      </c>
      <c r="J1212" t="s">
        <v>2467</v>
      </c>
    </row>
    <row r="1213" spans="1:10" x14ac:dyDescent="0.3">
      <c r="A1213" t="s">
        <v>2468</v>
      </c>
      <c r="B1213" t="s">
        <v>16</v>
      </c>
      <c r="C1213" t="s">
        <v>29</v>
      </c>
      <c r="D1213">
        <v>2</v>
      </c>
      <c r="E1213">
        <v>52.59</v>
      </c>
      <c r="F1213" t="str">
        <f t="shared" si="36"/>
        <v>2024-12</v>
      </c>
      <c r="G1213">
        <f t="shared" si="37"/>
        <v>105.18</v>
      </c>
      <c r="H1213" s="2">
        <v>45650.857630524908</v>
      </c>
      <c r="I1213" t="s">
        <v>32</v>
      </c>
      <c r="J1213" t="s">
        <v>2469</v>
      </c>
    </row>
    <row r="1214" spans="1:10" x14ac:dyDescent="0.3">
      <c r="A1214" t="s">
        <v>2470</v>
      </c>
      <c r="B1214" t="s">
        <v>23</v>
      </c>
      <c r="C1214" t="s">
        <v>28</v>
      </c>
      <c r="D1214">
        <v>3</v>
      </c>
      <c r="E1214">
        <v>44.67</v>
      </c>
      <c r="F1214" t="str">
        <f t="shared" si="36"/>
        <v>2024-08</v>
      </c>
      <c r="G1214">
        <f t="shared" si="37"/>
        <v>134.01</v>
      </c>
      <c r="H1214" s="2">
        <v>45530.857630524908</v>
      </c>
      <c r="I1214" t="s">
        <v>35</v>
      </c>
      <c r="J1214" t="s">
        <v>2471</v>
      </c>
    </row>
    <row r="1215" spans="1:10" x14ac:dyDescent="0.3">
      <c r="A1215" t="s">
        <v>2472</v>
      </c>
      <c r="B1215" t="s">
        <v>25</v>
      </c>
      <c r="C1215" t="s">
        <v>30</v>
      </c>
      <c r="D1215">
        <v>2</v>
      </c>
      <c r="E1215">
        <v>25.02</v>
      </c>
      <c r="F1215" t="str">
        <f t="shared" si="36"/>
        <v>2025-04</v>
      </c>
      <c r="G1215">
        <f t="shared" si="37"/>
        <v>50.04</v>
      </c>
      <c r="H1215" s="2">
        <v>45749.857630524908</v>
      </c>
      <c r="I1215" t="s">
        <v>35</v>
      </c>
      <c r="J1215" t="s">
        <v>2473</v>
      </c>
    </row>
    <row r="1216" spans="1:10" x14ac:dyDescent="0.3">
      <c r="A1216" t="s">
        <v>2474</v>
      </c>
      <c r="B1216" t="s">
        <v>18</v>
      </c>
      <c r="C1216" t="s">
        <v>29</v>
      </c>
      <c r="D1216">
        <v>2</v>
      </c>
      <c r="E1216">
        <v>59.19</v>
      </c>
      <c r="F1216" t="str">
        <f t="shared" si="36"/>
        <v>2024-12</v>
      </c>
      <c r="G1216">
        <f t="shared" si="37"/>
        <v>118.38</v>
      </c>
      <c r="H1216" s="2">
        <v>45638.857630524908</v>
      </c>
      <c r="I1216" t="s">
        <v>31</v>
      </c>
      <c r="J1216" t="s">
        <v>2475</v>
      </c>
    </row>
    <row r="1217" spans="1:10" x14ac:dyDescent="0.3">
      <c r="A1217" t="s">
        <v>2476</v>
      </c>
      <c r="B1217" t="s">
        <v>24</v>
      </c>
      <c r="C1217" t="s">
        <v>28</v>
      </c>
      <c r="D1217">
        <v>2</v>
      </c>
      <c r="E1217">
        <v>11.06</v>
      </c>
      <c r="F1217" t="str">
        <f t="shared" si="36"/>
        <v>2024-05</v>
      </c>
      <c r="G1217">
        <f t="shared" si="37"/>
        <v>22.12</v>
      </c>
      <c r="H1217" s="2">
        <v>45429.857630524908</v>
      </c>
      <c r="I1217" t="s">
        <v>34</v>
      </c>
      <c r="J1217" t="s">
        <v>2477</v>
      </c>
    </row>
    <row r="1218" spans="1:10" x14ac:dyDescent="0.3">
      <c r="A1218" t="s">
        <v>2478</v>
      </c>
      <c r="B1218" t="s">
        <v>26</v>
      </c>
      <c r="C1218" t="s">
        <v>28</v>
      </c>
      <c r="D1218">
        <v>5</v>
      </c>
      <c r="E1218">
        <v>15.18</v>
      </c>
      <c r="F1218" t="str">
        <f t="shared" si="36"/>
        <v>2024-07</v>
      </c>
      <c r="G1218">
        <f t="shared" si="37"/>
        <v>75.900000000000006</v>
      </c>
      <c r="H1218" s="2">
        <v>45486.857630524908</v>
      </c>
      <c r="I1218" t="s">
        <v>34</v>
      </c>
      <c r="J1218" t="s">
        <v>2479</v>
      </c>
    </row>
    <row r="1219" spans="1:10" x14ac:dyDescent="0.3">
      <c r="A1219" t="s">
        <v>2480</v>
      </c>
      <c r="B1219" t="s">
        <v>24</v>
      </c>
      <c r="C1219" t="s">
        <v>28</v>
      </c>
      <c r="D1219">
        <v>2</v>
      </c>
      <c r="E1219">
        <v>28.23</v>
      </c>
      <c r="F1219" t="str">
        <f t="shared" ref="F1219:F1282" si="38">TEXT(H1219, "yyyy-mm")</f>
        <v>2025-03</v>
      </c>
      <c r="G1219">
        <f t="shared" ref="G1219:G1282" si="39">D1219*E1219</f>
        <v>56.46</v>
      </c>
      <c r="H1219" s="2">
        <v>45724.857630524908</v>
      </c>
      <c r="I1219" t="s">
        <v>35</v>
      </c>
      <c r="J1219" t="s">
        <v>2481</v>
      </c>
    </row>
    <row r="1220" spans="1:10" x14ac:dyDescent="0.3">
      <c r="A1220" t="s">
        <v>2482</v>
      </c>
      <c r="B1220" t="s">
        <v>23</v>
      </c>
      <c r="C1220" t="s">
        <v>28</v>
      </c>
      <c r="D1220">
        <v>1</v>
      </c>
      <c r="E1220">
        <v>41.5</v>
      </c>
      <c r="F1220" t="str">
        <f t="shared" si="38"/>
        <v>2024-08</v>
      </c>
      <c r="G1220">
        <f t="shared" si="39"/>
        <v>41.5</v>
      </c>
      <c r="H1220" s="2">
        <v>45526.857630524908</v>
      </c>
      <c r="I1220" t="s">
        <v>32</v>
      </c>
      <c r="J1220" t="s">
        <v>2483</v>
      </c>
    </row>
    <row r="1221" spans="1:10" x14ac:dyDescent="0.3">
      <c r="A1221" t="s">
        <v>2484</v>
      </c>
      <c r="B1221" t="s">
        <v>25</v>
      </c>
      <c r="C1221" t="s">
        <v>30</v>
      </c>
      <c r="D1221">
        <v>1</v>
      </c>
      <c r="E1221">
        <v>13.59</v>
      </c>
      <c r="F1221" t="str">
        <f t="shared" si="38"/>
        <v>2025-03</v>
      </c>
      <c r="G1221">
        <f t="shared" si="39"/>
        <v>13.59</v>
      </c>
      <c r="H1221" s="2">
        <v>45731.857630524908</v>
      </c>
      <c r="I1221" t="s">
        <v>32</v>
      </c>
      <c r="J1221" t="s">
        <v>2485</v>
      </c>
    </row>
    <row r="1222" spans="1:10" x14ac:dyDescent="0.3">
      <c r="A1222" t="s">
        <v>2486</v>
      </c>
      <c r="B1222" t="s">
        <v>18</v>
      </c>
      <c r="C1222" t="s">
        <v>29</v>
      </c>
      <c r="D1222">
        <v>5</v>
      </c>
      <c r="E1222">
        <v>44.28</v>
      </c>
      <c r="F1222" t="str">
        <f t="shared" si="38"/>
        <v>2024-09</v>
      </c>
      <c r="G1222">
        <f t="shared" si="39"/>
        <v>221.4</v>
      </c>
      <c r="H1222" s="2">
        <v>45551.857630524908</v>
      </c>
      <c r="I1222" t="s">
        <v>33</v>
      </c>
      <c r="J1222" t="s">
        <v>2487</v>
      </c>
    </row>
    <row r="1223" spans="1:10" x14ac:dyDescent="0.3">
      <c r="A1223" t="s">
        <v>2488</v>
      </c>
      <c r="B1223" t="s">
        <v>21</v>
      </c>
      <c r="C1223" t="s">
        <v>30</v>
      </c>
      <c r="D1223">
        <v>5</v>
      </c>
      <c r="E1223">
        <v>24.55</v>
      </c>
      <c r="F1223" t="str">
        <f t="shared" si="38"/>
        <v>2025-02</v>
      </c>
      <c r="G1223">
        <f t="shared" si="39"/>
        <v>122.75</v>
      </c>
      <c r="H1223" s="2">
        <v>45697.857630524908</v>
      </c>
      <c r="I1223" t="s">
        <v>32</v>
      </c>
      <c r="J1223" t="s">
        <v>2489</v>
      </c>
    </row>
    <row r="1224" spans="1:10" x14ac:dyDescent="0.3">
      <c r="A1224" t="s">
        <v>2490</v>
      </c>
      <c r="B1224" t="s">
        <v>20</v>
      </c>
      <c r="C1224" t="s">
        <v>30</v>
      </c>
      <c r="D1224">
        <v>1</v>
      </c>
      <c r="E1224">
        <v>18.3</v>
      </c>
      <c r="F1224" t="str">
        <f t="shared" si="38"/>
        <v>2025-02</v>
      </c>
      <c r="G1224">
        <f t="shared" si="39"/>
        <v>18.3</v>
      </c>
      <c r="H1224" s="2">
        <v>45695.857630524908</v>
      </c>
      <c r="I1224" t="s">
        <v>31</v>
      </c>
      <c r="J1224" t="s">
        <v>2491</v>
      </c>
    </row>
    <row r="1225" spans="1:10" x14ac:dyDescent="0.3">
      <c r="A1225" t="s">
        <v>2492</v>
      </c>
      <c r="B1225" t="s">
        <v>21</v>
      </c>
      <c r="C1225" t="s">
        <v>30</v>
      </c>
      <c r="D1225">
        <v>5</v>
      </c>
      <c r="E1225">
        <v>28.98</v>
      </c>
      <c r="F1225" t="str">
        <f t="shared" si="38"/>
        <v>2024-04</v>
      </c>
      <c r="G1225">
        <f t="shared" si="39"/>
        <v>144.9</v>
      </c>
      <c r="H1225" s="2">
        <v>45402.857630524908</v>
      </c>
      <c r="I1225" t="s">
        <v>31</v>
      </c>
      <c r="J1225" t="s">
        <v>2493</v>
      </c>
    </row>
    <row r="1226" spans="1:10" x14ac:dyDescent="0.3">
      <c r="A1226" t="s">
        <v>2494</v>
      </c>
      <c r="B1226" t="s">
        <v>17</v>
      </c>
      <c r="C1226" t="s">
        <v>29</v>
      </c>
      <c r="D1226">
        <v>2</v>
      </c>
      <c r="E1226">
        <v>42.34</v>
      </c>
      <c r="F1226" t="str">
        <f t="shared" si="38"/>
        <v>2024-07</v>
      </c>
      <c r="G1226">
        <f t="shared" si="39"/>
        <v>84.68</v>
      </c>
      <c r="H1226" s="2">
        <v>45479.857630524908</v>
      </c>
      <c r="I1226" t="s">
        <v>34</v>
      </c>
      <c r="J1226" t="s">
        <v>2495</v>
      </c>
    </row>
    <row r="1227" spans="1:10" x14ac:dyDescent="0.3">
      <c r="A1227" t="s">
        <v>2496</v>
      </c>
      <c r="B1227" t="s">
        <v>18</v>
      </c>
      <c r="C1227" t="s">
        <v>29</v>
      </c>
      <c r="D1227">
        <v>3</v>
      </c>
      <c r="E1227">
        <v>34.979999999999997</v>
      </c>
      <c r="F1227" t="str">
        <f t="shared" si="38"/>
        <v>2024-07</v>
      </c>
      <c r="G1227">
        <f t="shared" si="39"/>
        <v>104.94</v>
      </c>
      <c r="H1227" s="2">
        <v>45477.857630524908</v>
      </c>
      <c r="I1227" t="s">
        <v>32</v>
      </c>
      <c r="J1227" t="s">
        <v>2497</v>
      </c>
    </row>
    <row r="1228" spans="1:10" x14ac:dyDescent="0.3">
      <c r="A1228" t="s">
        <v>2498</v>
      </c>
      <c r="B1228" t="s">
        <v>19</v>
      </c>
      <c r="C1228" t="s">
        <v>28</v>
      </c>
      <c r="D1228">
        <v>4</v>
      </c>
      <c r="E1228">
        <v>57.79</v>
      </c>
      <c r="F1228" t="str">
        <f t="shared" si="38"/>
        <v>2025-02</v>
      </c>
      <c r="G1228">
        <f t="shared" si="39"/>
        <v>231.16</v>
      </c>
      <c r="H1228" s="2">
        <v>45692.857630524908</v>
      </c>
      <c r="I1228" t="s">
        <v>34</v>
      </c>
      <c r="J1228" t="s">
        <v>2499</v>
      </c>
    </row>
    <row r="1229" spans="1:10" x14ac:dyDescent="0.3">
      <c r="A1229" t="s">
        <v>2500</v>
      </c>
      <c r="B1229" t="s">
        <v>25</v>
      </c>
      <c r="C1229" t="s">
        <v>30</v>
      </c>
      <c r="D1229">
        <v>1</v>
      </c>
      <c r="E1229">
        <v>46.96</v>
      </c>
      <c r="F1229" t="str">
        <f t="shared" si="38"/>
        <v>2024-07</v>
      </c>
      <c r="G1229">
        <f t="shared" si="39"/>
        <v>46.96</v>
      </c>
      <c r="H1229" s="2">
        <v>45479.857630524908</v>
      </c>
      <c r="I1229" t="s">
        <v>31</v>
      </c>
      <c r="J1229" t="s">
        <v>2501</v>
      </c>
    </row>
    <row r="1230" spans="1:10" x14ac:dyDescent="0.3">
      <c r="A1230" t="s">
        <v>2502</v>
      </c>
      <c r="B1230" t="s">
        <v>27</v>
      </c>
      <c r="C1230" t="s">
        <v>28</v>
      </c>
      <c r="D1230">
        <v>2</v>
      </c>
      <c r="E1230">
        <v>56.29</v>
      </c>
      <c r="F1230" t="str">
        <f t="shared" si="38"/>
        <v>2024-09</v>
      </c>
      <c r="G1230">
        <f t="shared" si="39"/>
        <v>112.58</v>
      </c>
      <c r="H1230" s="2">
        <v>45552.857630524908</v>
      </c>
      <c r="I1230" t="s">
        <v>34</v>
      </c>
      <c r="J1230" t="s">
        <v>2503</v>
      </c>
    </row>
    <row r="1231" spans="1:10" x14ac:dyDescent="0.3">
      <c r="A1231" t="s">
        <v>2504</v>
      </c>
      <c r="B1231" t="s">
        <v>27</v>
      </c>
      <c r="C1231" t="s">
        <v>28</v>
      </c>
      <c r="D1231">
        <v>1</v>
      </c>
      <c r="E1231">
        <v>29.7</v>
      </c>
      <c r="F1231" t="str">
        <f t="shared" si="38"/>
        <v>2024-06</v>
      </c>
      <c r="G1231">
        <f t="shared" si="39"/>
        <v>29.7</v>
      </c>
      <c r="H1231" s="2">
        <v>45444.857630524908</v>
      </c>
      <c r="I1231" t="s">
        <v>33</v>
      </c>
      <c r="J1231" t="s">
        <v>2505</v>
      </c>
    </row>
    <row r="1232" spans="1:10" x14ac:dyDescent="0.3">
      <c r="A1232" t="s">
        <v>2506</v>
      </c>
      <c r="B1232" t="s">
        <v>19</v>
      </c>
      <c r="C1232" t="s">
        <v>28</v>
      </c>
      <c r="D1232">
        <v>2</v>
      </c>
      <c r="E1232">
        <v>44.25</v>
      </c>
      <c r="F1232" t="str">
        <f t="shared" si="38"/>
        <v>2025-03</v>
      </c>
      <c r="G1232">
        <f t="shared" si="39"/>
        <v>88.5</v>
      </c>
      <c r="H1232" s="2">
        <v>45720.857630524908</v>
      </c>
      <c r="I1232" t="s">
        <v>31</v>
      </c>
      <c r="J1232" t="s">
        <v>2507</v>
      </c>
    </row>
    <row r="1233" spans="1:10" x14ac:dyDescent="0.3">
      <c r="A1233" t="s">
        <v>2508</v>
      </c>
      <c r="B1233" t="s">
        <v>23</v>
      </c>
      <c r="C1233" t="s">
        <v>28</v>
      </c>
      <c r="D1233">
        <v>2</v>
      </c>
      <c r="E1233">
        <v>38.75</v>
      </c>
      <c r="F1233" t="str">
        <f t="shared" si="38"/>
        <v>2024-09</v>
      </c>
      <c r="G1233">
        <f t="shared" si="39"/>
        <v>77.5</v>
      </c>
      <c r="H1233" s="2">
        <v>45556.857630524908</v>
      </c>
      <c r="I1233" t="s">
        <v>35</v>
      </c>
      <c r="J1233" t="s">
        <v>2509</v>
      </c>
    </row>
    <row r="1234" spans="1:10" x14ac:dyDescent="0.3">
      <c r="A1234" t="s">
        <v>2510</v>
      </c>
      <c r="B1234" t="s">
        <v>27</v>
      </c>
      <c r="C1234" t="s">
        <v>28</v>
      </c>
      <c r="D1234">
        <v>2</v>
      </c>
      <c r="E1234">
        <v>10.99</v>
      </c>
      <c r="F1234" t="str">
        <f t="shared" si="38"/>
        <v>2024-07</v>
      </c>
      <c r="G1234">
        <f t="shared" si="39"/>
        <v>21.98</v>
      </c>
      <c r="H1234" s="2">
        <v>45486.857630524908</v>
      </c>
      <c r="I1234" t="s">
        <v>31</v>
      </c>
      <c r="J1234" t="s">
        <v>2511</v>
      </c>
    </row>
    <row r="1235" spans="1:10" x14ac:dyDescent="0.3">
      <c r="A1235" t="s">
        <v>2512</v>
      </c>
      <c r="B1235" t="s">
        <v>24</v>
      </c>
      <c r="C1235" t="s">
        <v>28</v>
      </c>
      <c r="D1235">
        <v>3</v>
      </c>
      <c r="E1235">
        <v>47.37</v>
      </c>
      <c r="F1235" t="str">
        <f t="shared" si="38"/>
        <v>2024-10</v>
      </c>
      <c r="G1235">
        <f t="shared" si="39"/>
        <v>142.10999999999999</v>
      </c>
      <c r="H1235" s="2">
        <v>45593.857630524908</v>
      </c>
      <c r="I1235" t="s">
        <v>35</v>
      </c>
      <c r="J1235" t="s">
        <v>2513</v>
      </c>
    </row>
    <row r="1236" spans="1:10" x14ac:dyDescent="0.3">
      <c r="A1236" t="s">
        <v>2514</v>
      </c>
      <c r="B1236" t="s">
        <v>24</v>
      </c>
      <c r="C1236" t="s">
        <v>28</v>
      </c>
      <c r="D1236">
        <v>5</v>
      </c>
      <c r="E1236">
        <v>47.02</v>
      </c>
      <c r="F1236" t="str">
        <f t="shared" si="38"/>
        <v>2024-11</v>
      </c>
      <c r="G1236">
        <f t="shared" si="39"/>
        <v>235.10000000000002</v>
      </c>
      <c r="H1236" s="2">
        <v>45614.857630524908</v>
      </c>
      <c r="I1236" t="s">
        <v>31</v>
      </c>
      <c r="J1236" t="s">
        <v>2515</v>
      </c>
    </row>
    <row r="1237" spans="1:10" x14ac:dyDescent="0.3">
      <c r="A1237" t="s">
        <v>2516</v>
      </c>
      <c r="B1237" t="s">
        <v>22</v>
      </c>
      <c r="C1237" t="s">
        <v>30</v>
      </c>
      <c r="D1237">
        <v>2</v>
      </c>
      <c r="E1237">
        <v>58.32</v>
      </c>
      <c r="F1237" t="str">
        <f t="shared" si="38"/>
        <v>2025-03</v>
      </c>
      <c r="G1237">
        <f t="shared" si="39"/>
        <v>116.64</v>
      </c>
      <c r="H1237" s="2">
        <v>45746.857630524908</v>
      </c>
      <c r="I1237" t="s">
        <v>31</v>
      </c>
      <c r="J1237" t="s">
        <v>2517</v>
      </c>
    </row>
    <row r="1238" spans="1:10" x14ac:dyDescent="0.3">
      <c r="A1238" t="s">
        <v>2518</v>
      </c>
      <c r="B1238" t="s">
        <v>18</v>
      </c>
      <c r="C1238" t="s">
        <v>29</v>
      </c>
      <c r="D1238">
        <v>4</v>
      </c>
      <c r="E1238">
        <v>54.48</v>
      </c>
      <c r="F1238" t="str">
        <f t="shared" si="38"/>
        <v>2025-02</v>
      </c>
      <c r="G1238">
        <f t="shared" si="39"/>
        <v>217.92</v>
      </c>
      <c r="H1238" s="2">
        <v>45702.857630524908</v>
      </c>
      <c r="I1238" t="s">
        <v>34</v>
      </c>
      <c r="J1238" t="s">
        <v>2519</v>
      </c>
    </row>
    <row r="1239" spans="1:10" x14ac:dyDescent="0.3">
      <c r="A1239" t="s">
        <v>2520</v>
      </c>
      <c r="B1239" t="s">
        <v>25</v>
      </c>
      <c r="C1239" t="s">
        <v>30</v>
      </c>
      <c r="D1239">
        <v>3</v>
      </c>
      <c r="E1239">
        <v>35.159999999999997</v>
      </c>
      <c r="F1239" t="str">
        <f t="shared" si="38"/>
        <v>2024-08</v>
      </c>
      <c r="G1239">
        <f t="shared" si="39"/>
        <v>105.47999999999999</v>
      </c>
      <c r="H1239" s="2">
        <v>45520.857630524908</v>
      </c>
      <c r="I1239" t="s">
        <v>34</v>
      </c>
      <c r="J1239" t="s">
        <v>2521</v>
      </c>
    </row>
    <row r="1240" spans="1:10" x14ac:dyDescent="0.3">
      <c r="A1240" t="s">
        <v>2522</v>
      </c>
      <c r="B1240" t="s">
        <v>17</v>
      </c>
      <c r="C1240" t="s">
        <v>29</v>
      </c>
      <c r="D1240">
        <v>3</v>
      </c>
      <c r="E1240">
        <v>46.36</v>
      </c>
      <c r="F1240" t="str">
        <f t="shared" si="38"/>
        <v>2024-08</v>
      </c>
      <c r="G1240">
        <f t="shared" si="39"/>
        <v>139.07999999999998</v>
      </c>
      <c r="H1240" s="2">
        <v>45519.857630524908</v>
      </c>
      <c r="I1240" t="s">
        <v>31</v>
      </c>
      <c r="J1240" t="s">
        <v>2523</v>
      </c>
    </row>
    <row r="1241" spans="1:10" x14ac:dyDescent="0.3">
      <c r="A1241" t="s">
        <v>2524</v>
      </c>
      <c r="B1241" t="s">
        <v>17</v>
      </c>
      <c r="C1241" t="s">
        <v>29</v>
      </c>
      <c r="D1241">
        <v>3</v>
      </c>
      <c r="E1241">
        <v>41.54</v>
      </c>
      <c r="F1241" t="str">
        <f t="shared" si="38"/>
        <v>2024-11</v>
      </c>
      <c r="G1241">
        <f t="shared" si="39"/>
        <v>124.62</v>
      </c>
      <c r="H1241" s="2">
        <v>45605.857630524908</v>
      </c>
      <c r="I1241" t="s">
        <v>33</v>
      </c>
      <c r="J1241" t="s">
        <v>2525</v>
      </c>
    </row>
    <row r="1242" spans="1:10" x14ac:dyDescent="0.3">
      <c r="A1242" t="s">
        <v>2526</v>
      </c>
      <c r="B1242" t="s">
        <v>26</v>
      </c>
      <c r="C1242" t="s">
        <v>28</v>
      </c>
      <c r="D1242">
        <v>5</v>
      </c>
      <c r="E1242">
        <v>43.6</v>
      </c>
      <c r="F1242" t="str">
        <f t="shared" si="38"/>
        <v>2025-02</v>
      </c>
      <c r="G1242">
        <f t="shared" si="39"/>
        <v>218</v>
      </c>
      <c r="H1242" s="2">
        <v>45708.857630524908</v>
      </c>
      <c r="I1242" t="s">
        <v>32</v>
      </c>
      <c r="J1242" t="s">
        <v>2527</v>
      </c>
    </row>
    <row r="1243" spans="1:10" x14ac:dyDescent="0.3">
      <c r="A1243" t="s">
        <v>2528</v>
      </c>
      <c r="B1243" t="s">
        <v>27</v>
      </c>
      <c r="C1243" t="s">
        <v>28</v>
      </c>
      <c r="D1243">
        <v>3</v>
      </c>
      <c r="E1243">
        <v>58.41</v>
      </c>
      <c r="F1243" t="str">
        <f t="shared" si="38"/>
        <v>2025-03</v>
      </c>
      <c r="G1243">
        <f t="shared" si="39"/>
        <v>175.23</v>
      </c>
      <c r="H1243" s="2">
        <v>45718.857630524908</v>
      </c>
      <c r="I1243" t="s">
        <v>31</v>
      </c>
      <c r="J1243" t="s">
        <v>2529</v>
      </c>
    </row>
    <row r="1244" spans="1:10" x14ac:dyDescent="0.3">
      <c r="A1244" t="s">
        <v>2530</v>
      </c>
      <c r="B1244" t="s">
        <v>18</v>
      </c>
      <c r="C1244" t="s">
        <v>29</v>
      </c>
      <c r="D1244">
        <v>2</v>
      </c>
      <c r="E1244">
        <v>56.9</v>
      </c>
      <c r="F1244" t="str">
        <f t="shared" si="38"/>
        <v>2024-05</v>
      </c>
      <c r="G1244">
        <f t="shared" si="39"/>
        <v>113.8</v>
      </c>
      <c r="H1244" s="2">
        <v>45413.857630524908</v>
      </c>
      <c r="I1244" t="s">
        <v>33</v>
      </c>
      <c r="J1244" t="s">
        <v>2531</v>
      </c>
    </row>
    <row r="1245" spans="1:10" x14ac:dyDescent="0.3">
      <c r="A1245" t="s">
        <v>2532</v>
      </c>
      <c r="B1245" t="s">
        <v>20</v>
      </c>
      <c r="C1245" t="s">
        <v>30</v>
      </c>
      <c r="D1245">
        <v>4</v>
      </c>
      <c r="E1245">
        <v>22.52</v>
      </c>
      <c r="F1245" t="str">
        <f t="shared" si="38"/>
        <v>2024-09</v>
      </c>
      <c r="G1245">
        <f t="shared" si="39"/>
        <v>90.08</v>
      </c>
      <c r="H1245" s="2">
        <v>45557.857630524908</v>
      </c>
      <c r="I1245" t="s">
        <v>34</v>
      </c>
      <c r="J1245" t="s">
        <v>2533</v>
      </c>
    </row>
    <row r="1246" spans="1:10" x14ac:dyDescent="0.3">
      <c r="A1246" t="s">
        <v>2534</v>
      </c>
      <c r="B1246" t="s">
        <v>23</v>
      </c>
      <c r="C1246" t="s">
        <v>28</v>
      </c>
      <c r="D1246">
        <v>2</v>
      </c>
      <c r="E1246">
        <v>52.13</v>
      </c>
      <c r="F1246" t="str">
        <f t="shared" si="38"/>
        <v>2024-08</v>
      </c>
      <c r="G1246">
        <f t="shared" si="39"/>
        <v>104.26</v>
      </c>
      <c r="H1246" s="2">
        <v>45508.857630524908</v>
      </c>
      <c r="I1246" t="s">
        <v>34</v>
      </c>
      <c r="J1246" t="s">
        <v>2535</v>
      </c>
    </row>
    <row r="1247" spans="1:10" x14ac:dyDescent="0.3">
      <c r="A1247" t="s">
        <v>2536</v>
      </c>
      <c r="B1247" t="s">
        <v>22</v>
      </c>
      <c r="C1247" t="s">
        <v>30</v>
      </c>
      <c r="D1247">
        <v>4</v>
      </c>
      <c r="E1247">
        <v>15.65</v>
      </c>
      <c r="F1247" t="str">
        <f t="shared" si="38"/>
        <v>2024-11</v>
      </c>
      <c r="G1247">
        <f t="shared" si="39"/>
        <v>62.6</v>
      </c>
      <c r="H1247" s="2">
        <v>45600.857630524908</v>
      </c>
      <c r="I1247" t="s">
        <v>33</v>
      </c>
      <c r="J1247" t="s">
        <v>2537</v>
      </c>
    </row>
    <row r="1248" spans="1:10" x14ac:dyDescent="0.3">
      <c r="A1248" t="s">
        <v>2538</v>
      </c>
      <c r="B1248" t="s">
        <v>18</v>
      </c>
      <c r="C1248" t="s">
        <v>29</v>
      </c>
      <c r="D1248">
        <v>3</v>
      </c>
      <c r="E1248">
        <v>10.119999999999999</v>
      </c>
      <c r="F1248" t="str">
        <f t="shared" si="38"/>
        <v>2024-11</v>
      </c>
      <c r="G1248">
        <f t="shared" si="39"/>
        <v>30.36</v>
      </c>
      <c r="H1248" s="2">
        <v>45601.857630524908</v>
      </c>
      <c r="I1248" t="s">
        <v>32</v>
      </c>
      <c r="J1248" t="s">
        <v>2539</v>
      </c>
    </row>
    <row r="1249" spans="1:10" x14ac:dyDescent="0.3">
      <c r="A1249" t="s">
        <v>2540</v>
      </c>
      <c r="B1249" t="s">
        <v>16</v>
      </c>
      <c r="C1249" t="s">
        <v>29</v>
      </c>
      <c r="D1249">
        <v>5</v>
      </c>
      <c r="E1249">
        <v>45.06</v>
      </c>
      <c r="F1249" t="str">
        <f t="shared" si="38"/>
        <v>2024-09</v>
      </c>
      <c r="G1249">
        <f t="shared" si="39"/>
        <v>225.3</v>
      </c>
      <c r="H1249" s="2">
        <v>45545.857630524908</v>
      </c>
      <c r="I1249" t="s">
        <v>35</v>
      </c>
      <c r="J1249" t="s">
        <v>2541</v>
      </c>
    </row>
    <row r="1250" spans="1:10" x14ac:dyDescent="0.3">
      <c r="A1250" t="s">
        <v>2542</v>
      </c>
      <c r="B1250" t="s">
        <v>23</v>
      </c>
      <c r="C1250" t="s">
        <v>28</v>
      </c>
      <c r="D1250">
        <v>4</v>
      </c>
      <c r="E1250">
        <v>15.67</v>
      </c>
      <c r="F1250" t="str">
        <f t="shared" si="38"/>
        <v>2025-01</v>
      </c>
      <c r="G1250">
        <f t="shared" si="39"/>
        <v>62.68</v>
      </c>
      <c r="H1250" s="2">
        <v>45672.857630524908</v>
      </c>
      <c r="I1250" t="s">
        <v>31</v>
      </c>
      <c r="J1250" t="s">
        <v>2543</v>
      </c>
    </row>
    <row r="1251" spans="1:10" x14ac:dyDescent="0.3">
      <c r="A1251" t="s">
        <v>2544</v>
      </c>
      <c r="B1251" t="s">
        <v>23</v>
      </c>
      <c r="C1251" t="s">
        <v>28</v>
      </c>
      <c r="D1251">
        <v>4</v>
      </c>
      <c r="E1251">
        <v>32.979999999999997</v>
      </c>
      <c r="F1251" t="str">
        <f t="shared" si="38"/>
        <v>2024-12</v>
      </c>
      <c r="G1251">
        <f t="shared" si="39"/>
        <v>131.91999999999999</v>
      </c>
      <c r="H1251" s="2">
        <v>45640.857630524908</v>
      </c>
      <c r="I1251" t="s">
        <v>31</v>
      </c>
      <c r="J1251" t="s">
        <v>2545</v>
      </c>
    </row>
    <row r="1252" spans="1:10" x14ac:dyDescent="0.3">
      <c r="A1252" t="s">
        <v>2546</v>
      </c>
      <c r="B1252" t="s">
        <v>16</v>
      </c>
      <c r="C1252" t="s">
        <v>29</v>
      </c>
      <c r="D1252">
        <v>2</v>
      </c>
      <c r="E1252">
        <v>55.71</v>
      </c>
      <c r="F1252" t="str">
        <f t="shared" si="38"/>
        <v>2024-12</v>
      </c>
      <c r="G1252">
        <f t="shared" si="39"/>
        <v>111.42</v>
      </c>
      <c r="H1252" s="2">
        <v>45656.857630524908</v>
      </c>
      <c r="I1252" t="s">
        <v>35</v>
      </c>
      <c r="J1252" t="s">
        <v>2547</v>
      </c>
    </row>
    <row r="1253" spans="1:10" x14ac:dyDescent="0.3">
      <c r="A1253" t="s">
        <v>2548</v>
      </c>
      <c r="B1253" t="s">
        <v>17</v>
      </c>
      <c r="C1253" t="s">
        <v>29</v>
      </c>
      <c r="D1253">
        <v>2</v>
      </c>
      <c r="E1253">
        <v>47.31</v>
      </c>
      <c r="F1253" t="str">
        <f t="shared" si="38"/>
        <v>2024-08</v>
      </c>
      <c r="G1253">
        <f t="shared" si="39"/>
        <v>94.62</v>
      </c>
      <c r="H1253" s="2">
        <v>45506.857630524908</v>
      </c>
      <c r="I1253" t="s">
        <v>35</v>
      </c>
      <c r="J1253" t="s">
        <v>2549</v>
      </c>
    </row>
    <row r="1254" spans="1:10" x14ac:dyDescent="0.3">
      <c r="A1254" t="s">
        <v>2550</v>
      </c>
      <c r="B1254" t="s">
        <v>18</v>
      </c>
      <c r="C1254" t="s">
        <v>29</v>
      </c>
      <c r="D1254">
        <v>1</v>
      </c>
      <c r="E1254">
        <v>19.079999999999998</v>
      </c>
      <c r="F1254" t="str">
        <f t="shared" si="38"/>
        <v>2024-11</v>
      </c>
      <c r="G1254">
        <f t="shared" si="39"/>
        <v>19.079999999999998</v>
      </c>
      <c r="H1254" s="2">
        <v>45624.857630524908</v>
      </c>
      <c r="I1254" t="s">
        <v>33</v>
      </c>
      <c r="J1254" t="s">
        <v>2551</v>
      </c>
    </row>
    <row r="1255" spans="1:10" x14ac:dyDescent="0.3">
      <c r="A1255" t="s">
        <v>2552</v>
      </c>
      <c r="B1255" t="s">
        <v>24</v>
      </c>
      <c r="C1255" t="s">
        <v>28</v>
      </c>
      <c r="D1255">
        <v>1</v>
      </c>
      <c r="E1255">
        <v>48</v>
      </c>
      <c r="F1255" t="str">
        <f t="shared" si="38"/>
        <v>2024-11</v>
      </c>
      <c r="G1255">
        <f t="shared" si="39"/>
        <v>48</v>
      </c>
      <c r="H1255" s="2">
        <v>45601.857630524908</v>
      </c>
      <c r="I1255" t="s">
        <v>31</v>
      </c>
      <c r="J1255" t="s">
        <v>2553</v>
      </c>
    </row>
    <row r="1256" spans="1:10" x14ac:dyDescent="0.3">
      <c r="A1256" t="s">
        <v>2554</v>
      </c>
      <c r="B1256" t="s">
        <v>21</v>
      </c>
      <c r="C1256" t="s">
        <v>30</v>
      </c>
      <c r="D1256">
        <v>1</v>
      </c>
      <c r="E1256">
        <v>51.76</v>
      </c>
      <c r="F1256" t="str">
        <f t="shared" si="38"/>
        <v>2024-09</v>
      </c>
      <c r="G1256">
        <f t="shared" si="39"/>
        <v>51.76</v>
      </c>
      <c r="H1256" s="2">
        <v>45537.857630524908</v>
      </c>
      <c r="I1256" t="s">
        <v>33</v>
      </c>
      <c r="J1256" t="s">
        <v>2555</v>
      </c>
    </row>
    <row r="1257" spans="1:10" x14ac:dyDescent="0.3">
      <c r="A1257" t="s">
        <v>2556</v>
      </c>
      <c r="B1257" t="s">
        <v>17</v>
      </c>
      <c r="C1257" t="s">
        <v>29</v>
      </c>
      <c r="D1257">
        <v>5</v>
      </c>
      <c r="E1257">
        <v>41.03</v>
      </c>
      <c r="F1257" t="str">
        <f t="shared" si="38"/>
        <v>2024-06</v>
      </c>
      <c r="G1257">
        <f t="shared" si="39"/>
        <v>205.15</v>
      </c>
      <c r="H1257" s="2">
        <v>45466.857630524908</v>
      </c>
      <c r="I1257" t="s">
        <v>33</v>
      </c>
      <c r="J1257" t="s">
        <v>2557</v>
      </c>
    </row>
    <row r="1258" spans="1:10" x14ac:dyDescent="0.3">
      <c r="A1258" t="s">
        <v>2558</v>
      </c>
      <c r="B1258" t="s">
        <v>16</v>
      </c>
      <c r="C1258" t="s">
        <v>29</v>
      </c>
      <c r="D1258">
        <v>5</v>
      </c>
      <c r="E1258">
        <v>28.19</v>
      </c>
      <c r="F1258" t="str">
        <f t="shared" si="38"/>
        <v>2025-03</v>
      </c>
      <c r="G1258">
        <f t="shared" si="39"/>
        <v>140.95000000000002</v>
      </c>
      <c r="H1258" s="2">
        <v>45741.857630524908</v>
      </c>
      <c r="I1258" t="s">
        <v>32</v>
      </c>
      <c r="J1258" t="s">
        <v>2559</v>
      </c>
    </row>
    <row r="1259" spans="1:10" x14ac:dyDescent="0.3">
      <c r="A1259" t="s">
        <v>2560</v>
      </c>
      <c r="B1259" t="s">
        <v>16</v>
      </c>
      <c r="C1259" t="s">
        <v>29</v>
      </c>
      <c r="D1259">
        <v>1</v>
      </c>
      <c r="E1259">
        <v>46.83</v>
      </c>
      <c r="F1259" t="str">
        <f t="shared" si="38"/>
        <v>2024-07</v>
      </c>
      <c r="G1259">
        <f t="shared" si="39"/>
        <v>46.83</v>
      </c>
      <c r="H1259" s="2">
        <v>45485.857630524908</v>
      </c>
      <c r="I1259" t="s">
        <v>31</v>
      </c>
      <c r="J1259" t="s">
        <v>2561</v>
      </c>
    </row>
    <row r="1260" spans="1:10" x14ac:dyDescent="0.3">
      <c r="A1260" t="s">
        <v>2562</v>
      </c>
      <c r="B1260" t="s">
        <v>17</v>
      </c>
      <c r="C1260" t="s">
        <v>29</v>
      </c>
      <c r="D1260">
        <v>5</v>
      </c>
      <c r="E1260">
        <v>37.99</v>
      </c>
      <c r="F1260" t="str">
        <f t="shared" si="38"/>
        <v>2025-03</v>
      </c>
      <c r="G1260">
        <f t="shared" si="39"/>
        <v>189.95000000000002</v>
      </c>
      <c r="H1260" s="2">
        <v>45746.857630524908</v>
      </c>
      <c r="I1260" t="s">
        <v>32</v>
      </c>
      <c r="J1260" t="s">
        <v>2563</v>
      </c>
    </row>
    <row r="1261" spans="1:10" x14ac:dyDescent="0.3">
      <c r="A1261" t="s">
        <v>2564</v>
      </c>
      <c r="B1261" t="s">
        <v>22</v>
      </c>
      <c r="C1261" t="s">
        <v>30</v>
      </c>
      <c r="D1261">
        <v>2</v>
      </c>
      <c r="E1261">
        <v>23.71</v>
      </c>
      <c r="F1261" t="str">
        <f t="shared" si="38"/>
        <v>2025-01</v>
      </c>
      <c r="G1261">
        <f t="shared" si="39"/>
        <v>47.42</v>
      </c>
      <c r="H1261" s="2">
        <v>45688.857630524908</v>
      </c>
      <c r="I1261" t="s">
        <v>31</v>
      </c>
      <c r="J1261" t="s">
        <v>2565</v>
      </c>
    </row>
    <row r="1262" spans="1:10" x14ac:dyDescent="0.3">
      <c r="A1262" t="s">
        <v>2566</v>
      </c>
      <c r="B1262" t="s">
        <v>22</v>
      </c>
      <c r="C1262" t="s">
        <v>30</v>
      </c>
      <c r="D1262">
        <v>2</v>
      </c>
      <c r="E1262">
        <v>18.64</v>
      </c>
      <c r="F1262" t="str">
        <f t="shared" si="38"/>
        <v>2024-11</v>
      </c>
      <c r="G1262">
        <f t="shared" si="39"/>
        <v>37.28</v>
      </c>
      <c r="H1262" s="2">
        <v>45608.857630524908</v>
      </c>
      <c r="I1262" t="s">
        <v>31</v>
      </c>
      <c r="J1262" t="s">
        <v>2567</v>
      </c>
    </row>
    <row r="1263" spans="1:10" x14ac:dyDescent="0.3">
      <c r="A1263" t="s">
        <v>2568</v>
      </c>
      <c r="B1263" t="s">
        <v>21</v>
      </c>
      <c r="C1263" t="s">
        <v>30</v>
      </c>
      <c r="D1263">
        <v>4</v>
      </c>
      <c r="E1263">
        <v>27.4</v>
      </c>
      <c r="F1263" t="str">
        <f t="shared" si="38"/>
        <v>2024-12</v>
      </c>
      <c r="G1263">
        <f t="shared" si="39"/>
        <v>109.6</v>
      </c>
      <c r="H1263" s="2">
        <v>45634.857630524908</v>
      </c>
      <c r="I1263" t="s">
        <v>35</v>
      </c>
      <c r="J1263" t="s">
        <v>2569</v>
      </c>
    </row>
    <row r="1264" spans="1:10" x14ac:dyDescent="0.3">
      <c r="A1264" t="s">
        <v>2570</v>
      </c>
      <c r="B1264" t="s">
        <v>18</v>
      </c>
      <c r="C1264" t="s">
        <v>29</v>
      </c>
      <c r="D1264">
        <v>1</v>
      </c>
      <c r="E1264">
        <v>39.76</v>
      </c>
      <c r="F1264" t="str">
        <f t="shared" si="38"/>
        <v>2024-11</v>
      </c>
      <c r="G1264">
        <f t="shared" si="39"/>
        <v>39.76</v>
      </c>
      <c r="H1264" s="2">
        <v>45598.857630524908</v>
      </c>
      <c r="I1264" t="s">
        <v>31</v>
      </c>
      <c r="J1264" t="s">
        <v>2571</v>
      </c>
    </row>
    <row r="1265" spans="1:10" x14ac:dyDescent="0.3">
      <c r="A1265" t="s">
        <v>2572</v>
      </c>
      <c r="B1265" t="s">
        <v>27</v>
      </c>
      <c r="C1265" t="s">
        <v>28</v>
      </c>
      <c r="D1265">
        <v>5</v>
      </c>
      <c r="E1265">
        <v>19.22</v>
      </c>
      <c r="F1265" t="str">
        <f t="shared" si="38"/>
        <v>2024-11</v>
      </c>
      <c r="G1265">
        <f t="shared" si="39"/>
        <v>96.1</v>
      </c>
      <c r="H1265" s="2">
        <v>45610.857630524908</v>
      </c>
      <c r="I1265" t="s">
        <v>35</v>
      </c>
      <c r="J1265" t="s">
        <v>2573</v>
      </c>
    </row>
    <row r="1266" spans="1:10" x14ac:dyDescent="0.3">
      <c r="A1266" t="s">
        <v>2574</v>
      </c>
      <c r="B1266" t="s">
        <v>20</v>
      </c>
      <c r="C1266" t="s">
        <v>30</v>
      </c>
      <c r="D1266">
        <v>5</v>
      </c>
      <c r="E1266">
        <v>16.04</v>
      </c>
      <c r="F1266" t="str">
        <f t="shared" si="38"/>
        <v>2025-01</v>
      </c>
      <c r="G1266">
        <f t="shared" si="39"/>
        <v>80.199999999999989</v>
      </c>
      <c r="H1266" s="2">
        <v>45660.857630524908</v>
      </c>
      <c r="I1266" t="s">
        <v>35</v>
      </c>
      <c r="J1266" t="s">
        <v>2575</v>
      </c>
    </row>
    <row r="1267" spans="1:10" x14ac:dyDescent="0.3">
      <c r="A1267" t="s">
        <v>2576</v>
      </c>
      <c r="B1267" t="s">
        <v>20</v>
      </c>
      <c r="C1267" t="s">
        <v>30</v>
      </c>
      <c r="D1267">
        <v>1</v>
      </c>
      <c r="E1267">
        <v>40.67</v>
      </c>
      <c r="F1267" t="str">
        <f t="shared" si="38"/>
        <v>2024-08</v>
      </c>
      <c r="G1267">
        <f t="shared" si="39"/>
        <v>40.67</v>
      </c>
      <c r="H1267" s="2">
        <v>45508.857630524908</v>
      </c>
      <c r="I1267" t="s">
        <v>35</v>
      </c>
      <c r="J1267" t="s">
        <v>2577</v>
      </c>
    </row>
    <row r="1268" spans="1:10" x14ac:dyDescent="0.3">
      <c r="A1268" t="s">
        <v>2578</v>
      </c>
      <c r="B1268" t="s">
        <v>27</v>
      </c>
      <c r="C1268" t="s">
        <v>28</v>
      </c>
      <c r="D1268">
        <v>3</v>
      </c>
      <c r="E1268">
        <v>27.67</v>
      </c>
      <c r="F1268" t="str">
        <f t="shared" si="38"/>
        <v>2024-10</v>
      </c>
      <c r="G1268">
        <f t="shared" si="39"/>
        <v>83.01</v>
      </c>
      <c r="H1268" s="2">
        <v>45577.857630524908</v>
      </c>
      <c r="I1268" t="s">
        <v>35</v>
      </c>
      <c r="J1268" t="s">
        <v>2579</v>
      </c>
    </row>
    <row r="1269" spans="1:10" x14ac:dyDescent="0.3">
      <c r="A1269" t="s">
        <v>2580</v>
      </c>
      <c r="B1269" t="s">
        <v>18</v>
      </c>
      <c r="C1269" t="s">
        <v>29</v>
      </c>
      <c r="D1269">
        <v>2</v>
      </c>
      <c r="E1269">
        <v>52.2</v>
      </c>
      <c r="F1269" t="str">
        <f t="shared" si="38"/>
        <v>2025-03</v>
      </c>
      <c r="G1269">
        <f t="shared" si="39"/>
        <v>104.4</v>
      </c>
      <c r="H1269" s="2">
        <v>45718.857630524908</v>
      </c>
      <c r="I1269" t="s">
        <v>31</v>
      </c>
      <c r="J1269" t="s">
        <v>2581</v>
      </c>
    </row>
    <row r="1270" spans="1:10" x14ac:dyDescent="0.3">
      <c r="A1270" t="s">
        <v>2582</v>
      </c>
      <c r="B1270" t="s">
        <v>24</v>
      </c>
      <c r="C1270" t="s">
        <v>28</v>
      </c>
      <c r="D1270">
        <v>2</v>
      </c>
      <c r="E1270">
        <v>29.58</v>
      </c>
      <c r="F1270" t="str">
        <f t="shared" si="38"/>
        <v>2024-04</v>
      </c>
      <c r="G1270">
        <f t="shared" si="39"/>
        <v>59.16</v>
      </c>
      <c r="H1270" s="2">
        <v>45403.857630524908</v>
      </c>
      <c r="I1270" t="s">
        <v>34</v>
      </c>
      <c r="J1270" t="s">
        <v>2583</v>
      </c>
    </row>
    <row r="1271" spans="1:10" x14ac:dyDescent="0.3">
      <c r="A1271" t="s">
        <v>2584</v>
      </c>
      <c r="B1271" t="s">
        <v>22</v>
      </c>
      <c r="C1271" t="s">
        <v>30</v>
      </c>
      <c r="D1271">
        <v>3</v>
      </c>
      <c r="E1271">
        <v>34.049999999999997</v>
      </c>
      <c r="F1271" t="str">
        <f t="shared" si="38"/>
        <v>2025-01</v>
      </c>
      <c r="G1271">
        <f t="shared" si="39"/>
        <v>102.14999999999999</v>
      </c>
      <c r="H1271" s="2">
        <v>45668.857630524908</v>
      </c>
      <c r="I1271" t="s">
        <v>31</v>
      </c>
      <c r="J1271" t="s">
        <v>2585</v>
      </c>
    </row>
    <row r="1272" spans="1:10" x14ac:dyDescent="0.3">
      <c r="A1272" t="s">
        <v>2586</v>
      </c>
      <c r="B1272" t="s">
        <v>21</v>
      </c>
      <c r="C1272" t="s">
        <v>30</v>
      </c>
      <c r="D1272">
        <v>1</v>
      </c>
      <c r="E1272">
        <v>12.17</v>
      </c>
      <c r="F1272" t="str">
        <f t="shared" si="38"/>
        <v>2024-06</v>
      </c>
      <c r="G1272">
        <f t="shared" si="39"/>
        <v>12.17</v>
      </c>
      <c r="H1272" s="2">
        <v>45452.857630524908</v>
      </c>
      <c r="I1272" t="s">
        <v>33</v>
      </c>
      <c r="J1272" t="s">
        <v>2587</v>
      </c>
    </row>
    <row r="1273" spans="1:10" x14ac:dyDescent="0.3">
      <c r="A1273" t="s">
        <v>2588</v>
      </c>
      <c r="B1273" t="s">
        <v>21</v>
      </c>
      <c r="C1273" t="s">
        <v>30</v>
      </c>
      <c r="D1273">
        <v>1</v>
      </c>
      <c r="E1273">
        <v>38.700000000000003</v>
      </c>
      <c r="F1273" t="str">
        <f t="shared" si="38"/>
        <v>2024-08</v>
      </c>
      <c r="G1273">
        <f t="shared" si="39"/>
        <v>38.700000000000003</v>
      </c>
      <c r="H1273" s="2">
        <v>45529.857630524908</v>
      </c>
      <c r="I1273" t="s">
        <v>35</v>
      </c>
      <c r="J1273" t="s">
        <v>2589</v>
      </c>
    </row>
    <row r="1274" spans="1:10" x14ac:dyDescent="0.3">
      <c r="A1274" t="s">
        <v>2590</v>
      </c>
      <c r="B1274" t="s">
        <v>20</v>
      </c>
      <c r="C1274" t="s">
        <v>30</v>
      </c>
      <c r="D1274">
        <v>2</v>
      </c>
      <c r="E1274">
        <v>19.11</v>
      </c>
      <c r="F1274" t="str">
        <f t="shared" si="38"/>
        <v>2025-03</v>
      </c>
      <c r="G1274">
        <f t="shared" si="39"/>
        <v>38.22</v>
      </c>
      <c r="H1274" s="2">
        <v>45722.857630524908</v>
      </c>
      <c r="I1274" t="s">
        <v>33</v>
      </c>
      <c r="J1274" t="s">
        <v>2591</v>
      </c>
    </row>
    <row r="1275" spans="1:10" x14ac:dyDescent="0.3">
      <c r="A1275" t="s">
        <v>2592</v>
      </c>
      <c r="B1275" t="s">
        <v>23</v>
      </c>
      <c r="C1275" t="s">
        <v>28</v>
      </c>
      <c r="D1275">
        <v>3</v>
      </c>
      <c r="E1275">
        <v>10.3</v>
      </c>
      <c r="F1275" t="str">
        <f t="shared" si="38"/>
        <v>2024-12</v>
      </c>
      <c r="G1275">
        <f t="shared" si="39"/>
        <v>30.900000000000002</v>
      </c>
      <c r="H1275" s="2">
        <v>45657.857630524908</v>
      </c>
      <c r="I1275" t="s">
        <v>33</v>
      </c>
      <c r="J1275" t="s">
        <v>2593</v>
      </c>
    </row>
    <row r="1276" spans="1:10" x14ac:dyDescent="0.3">
      <c r="A1276" t="s">
        <v>2594</v>
      </c>
      <c r="B1276" t="s">
        <v>16</v>
      </c>
      <c r="C1276" t="s">
        <v>29</v>
      </c>
      <c r="D1276">
        <v>1</v>
      </c>
      <c r="E1276">
        <v>30.75</v>
      </c>
      <c r="F1276" t="str">
        <f t="shared" si="38"/>
        <v>2024-04</v>
      </c>
      <c r="G1276">
        <f t="shared" si="39"/>
        <v>30.75</v>
      </c>
      <c r="H1276" s="2">
        <v>45388.857630524908</v>
      </c>
      <c r="I1276" t="s">
        <v>31</v>
      </c>
      <c r="J1276" t="s">
        <v>2595</v>
      </c>
    </row>
    <row r="1277" spans="1:10" x14ac:dyDescent="0.3">
      <c r="A1277" t="s">
        <v>2596</v>
      </c>
      <c r="B1277" t="s">
        <v>19</v>
      </c>
      <c r="C1277" t="s">
        <v>28</v>
      </c>
      <c r="D1277">
        <v>1</v>
      </c>
      <c r="E1277">
        <v>17.96</v>
      </c>
      <c r="F1277" t="str">
        <f t="shared" si="38"/>
        <v>2025-03</v>
      </c>
      <c r="G1277">
        <f t="shared" si="39"/>
        <v>17.96</v>
      </c>
      <c r="H1277" s="2">
        <v>45738.857630524908</v>
      </c>
      <c r="I1277" t="s">
        <v>31</v>
      </c>
      <c r="J1277" t="s">
        <v>2597</v>
      </c>
    </row>
    <row r="1278" spans="1:10" x14ac:dyDescent="0.3">
      <c r="A1278" t="s">
        <v>2598</v>
      </c>
      <c r="B1278" t="s">
        <v>18</v>
      </c>
      <c r="C1278" t="s">
        <v>29</v>
      </c>
      <c r="D1278">
        <v>5</v>
      </c>
      <c r="E1278">
        <v>12.19</v>
      </c>
      <c r="F1278" t="str">
        <f t="shared" si="38"/>
        <v>2024-10</v>
      </c>
      <c r="G1278">
        <f t="shared" si="39"/>
        <v>60.949999999999996</v>
      </c>
      <c r="H1278" s="2">
        <v>45570.857630524908</v>
      </c>
      <c r="I1278" t="s">
        <v>31</v>
      </c>
      <c r="J1278" t="s">
        <v>2599</v>
      </c>
    </row>
    <row r="1279" spans="1:10" x14ac:dyDescent="0.3">
      <c r="A1279" t="s">
        <v>2600</v>
      </c>
      <c r="B1279" t="s">
        <v>26</v>
      </c>
      <c r="C1279" t="s">
        <v>28</v>
      </c>
      <c r="D1279">
        <v>1</v>
      </c>
      <c r="E1279">
        <v>24.34</v>
      </c>
      <c r="F1279" t="str">
        <f t="shared" si="38"/>
        <v>2024-04</v>
      </c>
      <c r="G1279">
        <f t="shared" si="39"/>
        <v>24.34</v>
      </c>
      <c r="H1279" s="2">
        <v>45411.857630524908</v>
      </c>
      <c r="I1279" t="s">
        <v>35</v>
      </c>
      <c r="J1279" t="s">
        <v>2601</v>
      </c>
    </row>
    <row r="1280" spans="1:10" x14ac:dyDescent="0.3">
      <c r="A1280" t="s">
        <v>2602</v>
      </c>
      <c r="B1280" t="s">
        <v>27</v>
      </c>
      <c r="C1280" t="s">
        <v>28</v>
      </c>
      <c r="D1280">
        <v>5</v>
      </c>
      <c r="E1280">
        <v>21.68</v>
      </c>
      <c r="F1280" t="str">
        <f t="shared" si="38"/>
        <v>2024-06</v>
      </c>
      <c r="G1280">
        <f t="shared" si="39"/>
        <v>108.4</v>
      </c>
      <c r="H1280" s="2">
        <v>45451.857630524908</v>
      </c>
      <c r="I1280" t="s">
        <v>34</v>
      </c>
      <c r="J1280" t="s">
        <v>2603</v>
      </c>
    </row>
    <row r="1281" spans="1:10" x14ac:dyDescent="0.3">
      <c r="A1281" t="s">
        <v>2604</v>
      </c>
      <c r="B1281" t="s">
        <v>27</v>
      </c>
      <c r="C1281" t="s">
        <v>28</v>
      </c>
      <c r="D1281">
        <v>1</v>
      </c>
      <c r="E1281">
        <v>29.62</v>
      </c>
      <c r="F1281" t="str">
        <f t="shared" si="38"/>
        <v>2024-12</v>
      </c>
      <c r="G1281">
        <f t="shared" si="39"/>
        <v>29.62</v>
      </c>
      <c r="H1281" s="2">
        <v>45630.857630524908</v>
      </c>
      <c r="I1281" t="s">
        <v>35</v>
      </c>
      <c r="J1281" t="s">
        <v>2605</v>
      </c>
    </row>
    <row r="1282" spans="1:10" x14ac:dyDescent="0.3">
      <c r="A1282" t="s">
        <v>2606</v>
      </c>
      <c r="B1282" t="s">
        <v>27</v>
      </c>
      <c r="C1282" t="s">
        <v>28</v>
      </c>
      <c r="D1282">
        <v>4</v>
      </c>
      <c r="E1282">
        <v>17.489999999999998</v>
      </c>
      <c r="F1282" t="str">
        <f t="shared" si="38"/>
        <v>2024-10</v>
      </c>
      <c r="G1282">
        <f t="shared" si="39"/>
        <v>69.959999999999994</v>
      </c>
      <c r="H1282" s="2">
        <v>45573.857630524908</v>
      </c>
      <c r="I1282" t="s">
        <v>32</v>
      </c>
      <c r="J1282" t="s">
        <v>2607</v>
      </c>
    </row>
    <row r="1283" spans="1:10" x14ac:dyDescent="0.3">
      <c r="A1283" t="s">
        <v>2608</v>
      </c>
      <c r="B1283" t="s">
        <v>24</v>
      </c>
      <c r="C1283" t="s">
        <v>28</v>
      </c>
      <c r="D1283">
        <v>2</v>
      </c>
      <c r="E1283">
        <v>48.23</v>
      </c>
      <c r="F1283" t="str">
        <f t="shared" ref="F1283:F1346" si="40">TEXT(H1283, "yyyy-mm")</f>
        <v>2024-08</v>
      </c>
      <c r="G1283">
        <f t="shared" ref="G1283:G1346" si="41">D1283*E1283</f>
        <v>96.46</v>
      </c>
      <c r="H1283" s="2">
        <v>45511.857630524908</v>
      </c>
      <c r="I1283" t="s">
        <v>32</v>
      </c>
      <c r="J1283" t="s">
        <v>2609</v>
      </c>
    </row>
    <row r="1284" spans="1:10" x14ac:dyDescent="0.3">
      <c r="A1284" t="s">
        <v>2610</v>
      </c>
      <c r="B1284" t="s">
        <v>16</v>
      </c>
      <c r="C1284" t="s">
        <v>29</v>
      </c>
      <c r="D1284">
        <v>3</v>
      </c>
      <c r="E1284">
        <v>55.7</v>
      </c>
      <c r="F1284" t="str">
        <f t="shared" si="40"/>
        <v>2024-05</v>
      </c>
      <c r="G1284">
        <f t="shared" si="41"/>
        <v>167.10000000000002</v>
      </c>
      <c r="H1284" s="2">
        <v>45437.857630524908</v>
      </c>
      <c r="I1284" t="s">
        <v>31</v>
      </c>
      <c r="J1284" t="s">
        <v>2611</v>
      </c>
    </row>
    <row r="1285" spans="1:10" x14ac:dyDescent="0.3">
      <c r="A1285" t="s">
        <v>2612</v>
      </c>
      <c r="B1285" t="s">
        <v>18</v>
      </c>
      <c r="C1285" t="s">
        <v>29</v>
      </c>
      <c r="D1285">
        <v>5</v>
      </c>
      <c r="E1285">
        <v>31.58</v>
      </c>
      <c r="F1285" t="str">
        <f t="shared" si="40"/>
        <v>2025-01</v>
      </c>
      <c r="G1285">
        <f t="shared" si="41"/>
        <v>157.89999999999998</v>
      </c>
      <c r="H1285" s="2">
        <v>45688.857630524908</v>
      </c>
      <c r="I1285" t="s">
        <v>31</v>
      </c>
      <c r="J1285" t="s">
        <v>2613</v>
      </c>
    </row>
    <row r="1286" spans="1:10" x14ac:dyDescent="0.3">
      <c r="A1286" t="s">
        <v>2614</v>
      </c>
      <c r="B1286" t="s">
        <v>17</v>
      </c>
      <c r="C1286" t="s">
        <v>29</v>
      </c>
      <c r="D1286">
        <v>3</v>
      </c>
      <c r="E1286">
        <v>29.49</v>
      </c>
      <c r="F1286" t="str">
        <f t="shared" si="40"/>
        <v>2024-06</v>
      </c>
      <c r="G1286">
        <f t="shared" si="41"/>
        <v>88.47</v>
      </c>
      <c r="H1286" s="2">
        <v>45458.857630524908</v>
      </c>
      <c r="I1286" t="s">
        <v>34</v>
      </c>
      <c r="J1286" t="s">
        <v>2615</v>
      </c>
    </row>
    <row r="1287" spans="1:10" x14ac:dyDescent="0.3">
      <c r="A1287" t="s">
        <v>2616</v>
      </c>
      <c r="B1287" t="s">
        <v>25</v>
      </c>
      <c r="C1287" t="s">
        <v>30</v>
      </c>
      <c r="D1287">
        <v>3</v>
      </c>
      <c r="E1287">
        <v>31.5</v>
      </c>
      <c r="F1287" t="str">
        <f t="shared" si="40"/>
        <v>2024-06</v>
      </c>
      <c r="G1287">
        <f t="shared" si="41"/>
        <v>94.5</v>
      </c>
      <c r="H1287" s="2">
        <v>45473.857630524908</v>
      </c>
      <c r="I1287" t="s">
        <v>34</v>
      </c>
      <c r="J1287" t="s">
        <v>2617</v>
      </c>
    </row>
    <row r="1288" spans="1:10" x14ac:dyDescent="0.3">
      <c r="A1288" t="s">
        <v>2618</v>
      </c>
      <c r="B1288" t="s">
        <v>23</v>
      </c>
      <c r="C1288" t="s">
        <v>28</v>
      </c>
      <c r="D1288">
        <v>2</v>
      </c>
      <c r="E1288">
        <v>37.43</v>
      </c>
      <c r="F1288" t="str">
        <f t="shared" si="40"/>
        <v>2024-06</v>
      </c>
      <c r="G1288">
        <f t="shared" si="41"/>
        <v>74.86</v>
      </c>
      <c r="H1288" s="2">
        <v>45467.857630524908</v>
      </c>
      <c r="I1288" t="s">
        <v>32</v>
      </c>
      <c r="J1288" t="s">
        <v>2619</v>
      </c>
    </row>
    <row r="1289" spans="1:10" x14ac:dyDescent="0.3">
      <c r="A1289" t="s">
        <v>2620</v>
      </c>
      <c r="B1289" t="s">
        <v>22</v>
      </c>
      <c r="C1289" t="s">
        <v>30</v>
      </c>
      <c r="D1289">
        <v>1</v>
      </c>
      <c r="E1289">
        <v>23.65</v>
      </c>
      <c r="F1289" t="str">
        <f t="shared" si="40"/>
        <v>2024-08</v>
      </c>
      <c r="G1289">
        <f t="shared" si="41"/>
        <v>23.65</v>
      </c>
      <c r="H1289" s="2">
        <v>45524.857630524908</v>
      </c>
      <c r="I1289" t="s">
        <v>34</v>
      </c>
      <c r="J1289" t="s">
        <v>2621</v>
      </c>
    </row>
    <row r="1290" spans="1:10" x14ac:dyDescent="0.3">
      <c r="A1290" t="s">
        <v>2622</v>
      </c>
      <c r="B1290" t="s">
        <v>18</v>
      </c>
      <c r="C1290" t="s">
        <v>29</v>
      </c>
      <c r="D1290">
        <v>1</v>
      </c>
      <c r="E1290">
        <v>37.11</v>
      </c>
      <c r="F1290" t="str">
        <f t="shared" si="40"/>
        <v>2024-04</v>
      </c>
      <c r="G1290">
        <f t="shared" si="41"/>
        <v>37.11</v>
      </c>
      <c r="H1290" s="2">
        <v>45386.857630524908</v>
      </c>
      <c r="I1290" t="s">
        <v>35</v>
      </c>
      <c r="J1290" t="s">
        <v>2623</v>
      </c>
    </row>
    <row r="1291" spans="1:10" x14ac:dyDescent="0.3">
      <c r="A1291" t="s">
        <v>2624</v>
      </c>
      <c r="B1291" t="s">
        <v>18</v>
      </c>
      <c r="C1291" t="s">
        <v>29</v>
      </c>
      <c r="D1291">
        <v>1</v>
      </c>
      <c r="E1291">
        <v>33.979999999999997</v>
      </c>
      <c r="F1291" t="str">
        <f t="shared" si="40"/>
        <v>2024-05</v>
      </c>
      <c r="G1291">
        <f t="shared" si="41"/>
        <v>33.979999999999997</v>
      </c>
      <c r="H1291" s="2">
        <v>45442.857630524908</v>
      </c>
      <c r="I1291" t="s">
        <v>31</v>
      </c>
      <c r="J1291" t="s">
        <v>2625</v>
      </c>
    </row>
    <row r="1292" spans="1:10" x14ac:dyDescent="0.3">
      <c r="A1292" t="s">
        <v>2626</v>
      </c>
      <c r="B1292" t="s">
        <v>25</v>
      </c>
      <c r="C1292" t="s">
        <v>30</v>
      </c>
      <c r="D1292">
        <v>1</v>
      </c>
      <c r="E1292">
        <v>59.29</v>
      </c>
      <c r="F1292" t="str">
        <f t="shared" si="40"/>
        <v>2024-04</v>
      </c>
      <c r="G1292">
        <f t="shared" si="41"/>
        <v>59.29</v>
      </c>
      <c r="H1292" s="2">
        <v>45391.857630524908</v>
      </c>
      <c r="I1292" t="s">
        <v>31</v>
      </c>
      <c r="J1292" t="s">
        <v>2627</v>
      </c>
    </row>
    <row r="1293" spans="1:10" x14ac:dyDescent="0.3">
      <c r="A1293" t="s">
        <v>2628</v>
      </c>
      <c r="B1293" t="s">
        <v>17</v>
      </c>
      <c r="C1293" t="s">
        <v>29</v>
      </c>
      <c r="D1293">
        <v>4</v>
      </c>
      <c r="E1293">
        <v>35.590000000000003</v>
      </c>
      <c r="F1293" t="str">
        <f t="shared" si="40"/>
        <v>2025-03</v>
      </c>
      <c r="G1293">
        <f t="shared" si="41"/>
        <v>142.36000000000001</v>
      </c>
      <c r="H1293" s="2">
        <v>45718.857630524908</v>
      </c>
      <c r="I1293" t="s">
        <v>35</v>
      </c>
      <c r="J1293" t="s">
        <v>2629</v>
      </c>
    </row>
    <row r="1294" spans="1:10" x14ac:dyDescent="0.3">
      <c r="A1294" t="s">
        <v>2630</v>
      </c>
      <c r="B1294" t="s">
        <v>24</v>
      </c>
      <c r="C1294" t="s">
        <v>28</v>
      </c>
      <c r="D1294">
        <v>2</v>
      </c>
      <c r="E1294">
        <v>18.03</v>
      </c>
      <c r="F1294" t="str">
        <f t="shared" si="40"/>
        <v>2024-10</v>
      </c>
      <c r="G1294">
        <f t="shared" si="41"/>
        <v>36.06</v>
      </c>
      <c r="H1294" s="2">
        <v>45590.857630524908</v>
      </c>
      <c r="I1294" t="s">
        <v>35</v>
      </c>
      <c r="J1294" t="s">
        <v>2631</v>
      </c>
    </row>
    <row r="1295" spans="1:10" x14ac:dyDescent="0.3">
      <c r="A1295" t="s">
        <v>2632</v>
      </c>
      <c r="B1295" t="s">
        <v>23</v>
      </c>
      <c r="C1295" t="s">
        <v>28</v>
      </c>
      <c r="D1295">
        <v>1</v>
      </c>
      <c r="E1295">
        <v>27.59</v>
      </c>
      <c r="F1295" t="str">
        <f t="shared" si="40"/>
        <v>2025-03</v>
      </c>
      <c r="G1295">
        <f t="shared" si="41"/>
        <v>27.59</v>
      </c>
      <c r="H1295" s="2">
        <v>45728.857630524908</v>
      </c>
      <c r="I1295" t="s">
        <v>34</v>
      </c>
      <c r="J1295" t="s">
        <v>2633</v>
      </c>
    </row>
    <row r="1296" spans="1:10" x14ac:dyDescent="0.3">
      <c r="A1296" t="s">
        <v>2634</v>
      </c>
      <c r="B1296" t="s">
        <v>19</v>
      </c>
      <c r="C1296" t="s">
        <v>28</v>
      </c>
      <c r="D1296">
        <v>1</v>
      </c>
      <c r="E1296">
        <v>35.590000000000003</v>
      </c>
      <c r="F1296" t="str">
        <f t="shared" si="40"/>
        <v>2024-08</v>
      </c>
      <c r="G1296">
        <f t="shared" si="41"/>
        <v>35.590000000000003</v>
      </c>
      <c r="H1296" s="2">
        <v>45524.857630524908</v>
      </c>
      <c r="I1296" t="s">
        <v>33</v>
      </c>
      <c r="J1296" t="s">
        <v>2635</v>
      </c>
    </row>
    <row r="1297" spans="1:10" x14ac:dyDescent="0.3">
      <c r="A1297" t="s">
        <v>2636</v>
      </c>
      <c r="B1297" t="s">
        <v>25</v>
      </c>
      <c r="C1297" t="s">
        <v>30</v>
      </c>
      <c r="D1297">
        <v>1</v>
      </c>
      <c r="E1297">
        <v>57.24</v>
      </c>
      <c r="F1297" t="str">
        <f t="shared" si="40"/>
        <v>2024-10</v>
      </c>
      <c r="G1297">
        <f t="shared" si="41"/>
        <v>57.24</v>
      </c>
      <c r="H1297" s="2">
        <v>45569.857630524908</v>
      </c>
      <c r="I1297" t="s">
        <v>31</v>
      </c>
      <c r="J1297" t="s">
        <v>2637</v>
      </c>
    </row>
    <row r="1298" spans="1:10" x14ac:dyDescent="0.3">
      <c r="A1298" t="s">
        <v>2638</v>
      </c>
      <c r="B1298" t="s">
        <v>23</v>
      </c>
      <c r="C1298" t="s">
        <v>28</v>
      </c>
      <c r="D1298">
        <v>1</v>
      </c>
      <c r="E1298">
        <v>55.67</v>
      </c>
      <c r="F1298" t="str">
        <f t="shared" si="40"/>
        <v>2024-12</v>
      </c>
      <c r="G1298">
        <f t="shared" si="41"/>
        <v>55.67</v>
      </c>
      <c r="H1298" s="2">
        <v>45639.857630524908</v>
      </c>
      <c r="I1298" t="s">
        <v>34</v>
      </c>
      <c r="J1298" t="s">
        <v>2639</v>
      </c>
    </row>
    <row r="1299" spans="1:10" x14ac:dyDescent="0.3">
      <c r="A1299" t="s">
        <v>2640</v>
      </c>
      <c r="B1299" t="s">
        <v>16</v>
      </c>
      <c r="C1299" t="s">
        <v>29</v>
      </c>
      <c r="D1299">
        <v>2</v>
      </c>
      <c r="E1299">
        <v>50.94</v>
      </c>
      <c r="F1299" t="str">
        <f t="shared" si="40"/>
        <v>2024-08</v>
      </c>
      <c r="G1299">
        <f t="shared" si="41"/>
        <v>101.88</v>
      </c>
      <c r="H1299" s="2">
        <v>45505.857630524908</v>
      </c>
      <c r="I1299" t="s">
        <v>32</v>
      </c>
      <c r="J1299" t="s">
        <v>2641</v>
      </c>
    </row>
    <row r="1300" spans="1:10" x14ac:dyDescent="0.3">
      <c r="A1300" t="s">
        <v>2642</v>
      </c>
      <c r="B1300" t="s">
        <v>24</v>
      </c>
      <c r="C1300" t="s">
        <v>28</v>
      </c>
      <c r="D1300">
        <v>1</v>
      </c>
      <c r="E1300">
        <v>51.91</v>
      </c>
      <c r="F1300" t="str">
        <f t="shared" si="40"/>
        <v>2024-09</v>
      </c>
      <c r="G1300">
        <f t="shared" si="41"/>
        <v>51.91</v>
      </c>
      <c r="H1300" s="2">
        <v>45539.857630524908</v>
      </c>
      <c r="I1300" t="s">
        <v>35</v>
      </c>
      <c r="J1300" t="s">
        <v>2643</v>
      </c>
    </row>
    <row r="1301" spans="1:10" x14ac:dyDescent="0.3">
      <c r="A1301" t="s">
        <v>2644</v>
      </c>
      <c r="B1301" t="s">
        <v>23</v>
      </c>
      <c r="C1301" t="s">
        <v>28</v>
      </c>
      <c r="D1301">
        <v>2</v>
      </c>
      <c r="E1301">
        <v>42.7</v>
      </c>
      <c r="F1301" t="str">
        <f t="shared" si="40"/>
        <v>2024-09</v>
      </c>
      <c r="G1301">
        <f t="shared" si="41"/>
        <v>85.4</v>
      </c>
      <c r="H1301" s="2">
        <v>45549.857630524908</v>
      </c>
      <c r="I1301" t="s">
        <v>32</v>
      </c>
      <c r="J1301" t="s">
        <v>2645</v>
      </c>
    </row>
    <row r="1302" spans="1:10" x14ac:dyDescent="0.3">
      <c r="A1302" t="s">
        <v>2646</v>
      </c>
      <c r="B1302" t="s">
        <v>19</v>
      </c>
      <c r="C1302" t="s">
        <v>28</v>
      </c>
      <c r="D1302">
        <v>4</v>
      </c>
      <c r="E1302">
        <v>43.42</v>
      </c>
      <c r="F1302" t="str">
        <f t="shared" si="40"/>
        <v>2024-09</v>
      </c>
      <c r="G1302">
        <f t="shared" si="41"/>
        <v>173.68</v>
      </c>
      <c r="H1302" s="2">
        <v>45558.857630524908</v>
      </c>
      <c r="I1302" t="s">
        <v>32</v>
      </c>
      <c r="J1302" t="s">
        <v>2647</v>
      </c>
    </row>
    <row r="1303" spans="1:10" x14ac:dyDescent="0.3">
      <c r="A1303" t="s">
        <v>2648</v>
      </c>
      <c r="B1303" t="s">
        <v>21</v>
      </c>
      <c r="C1303" t="s">
        <v>30</v>
      </c>
      <c r="D1303">
        <v>4</v>
      </c>
      <c r="E1303">
        <v>16.07</v>
      </c>
      <c r="F1303" t="str">
        <f t="shared" si="40"/>
        <v>2024-07</v>
      </c>
      <c r="G1303">
        <f t="shared" si="41"/>
        <v>64.28</v>
      </c>
      <c r="H1303" s="2">
        <v>45490.857630524908</v>
      </c>
      <c r="I1303" t="s">
        <v>32</v>
      </c>
      <c r="J1303" t="s">
        <v>2649</v>
      </c>
    </row>
    <row r="1304" spans="1:10" x14ac:dyDescent="0.3">
      <c r="A1304" t="s">
        <v>2650</v>
      </c>
      <c r="B1304" t="s">
        <v>26</v>
      </c>
      <c r="C1304" t="s">
        <v>28</v>
      </c>
      <c r="D1304">
        <v>1</v>
      </c>
      <c r="E1304">
        <v>31.81</v>
      </c>
      <c r="F1304" t="str">
        <f t="shared" si="40"/>
        <v>2024-05</v>
      </c>
      <c r="G1304">
        <f t="shared" si="41"/>
        <v>31.81</v>
      </c>
      <c r="H1304" s="2">
        <v>45430.857630524908</v>
      </c>
      <c r="I1304" t="s">
        <v>33</v>
      </c>
      <c r="J1304" t="s">
        <v>2651</v>
      </c>
    </row>
    <row r="1305" spans="1:10" x14ac:dyDescent="0.3">
      <c r="A1305" t="s">
        <v>2652</v>
      </c>
      <c r="B1305" t="s">
        <v>24</v>
      </c>
      <c r="C1305" t="s">
        <v>28</v>
      </c>
      <c r="D1305">
        <v>2</v>
      </c>
      <c r="E1305">
        <v>34.54</v>
      </c>
      <c r="F1305" t="str">
        <f t="shared" si="40"/>
        <v>2025-01</v>
      </c>
      <c r="G1305">
        <f t="shared" si="41"/>
        <v>69.08</v>
      </c>
      <c r="H1305" s="2">
        <v>45672.857630524908</v>
      </c>
      <c r="I1305" t="s">
        <v>35</v>
      </c>
      <c r="J1305" t="s">
        <v>2653</v>
      </c>
    </row>
    <row r="1306" spans="1:10" x14ac:dyDescent="0.3">
      <c r="A1306" t="s">
        <v>2654</v>
      </c>
      <c r="B1306" t="s">
        <v>16</v>
      </c>
      <c r="C1306" t="s">
        <v>29</v>
      </c>
      <c r="D1306">
        <v>2</v>
      </c>
      <c r="E1306">
        <v>25.49</v>
      </c>
      <c r="F1306" t="str">
        <f t="shared" si="40"/>
        <v>2025-03</v>
      </c>
      <c r="G1306">
        <f t="shared" si="41"/>
        <v>50.98</v>
      </c>
      <c r="H1306" s="2">
        <v>45743.857630524908</v>
      </c>
      <c r="I1306" t="s">
        <v>33</v>
      </c>
      <c r="J1306" t="s">
        <v>2655</v>
      </c>
    </row>
    <row r="1307" spans="1:10" x14ac:dyDescent="0.3">
      <c r="A1307" t="s">
        <v>2656</v>
      </c>
      <c r="B1307" t="s">
        <v>16</v>
      </c>
      <c r="C1307" t="s">
        <v>29</v>
      </c>
      <c r="D1307">
        <v>1</v>
      </c>
      <c r="E1307">
        <v>13.22</v>
      </c>
      <c r="F1307" t="str">
        <f t="shared" si="40"/>
        <v>2024-07</v>
      </c>
      <c r="G1307">
        <f t="shared" si="41"/>
        <v>13.22</v>
      </c>
      <c r="H1307" s="2">
        <v>45497.857630524908</v>
      </c>
      <c r="I1307" t="s">
        <v>35</v>
      </c>
      <c r="J1307" t="s">
        <v>2657</v>
      </c>
    </row>
    <row r="1308" spans="1:10" x14ac:dyDescent="0.3">
      <c r="A1308" t="s">
        <v>2658</v>
      </c>
      <c r="B1308" t="s">
        <v>18</v>
      </c>
      <c r="C1308" t="s">
        <v>29</v>
      </c>
      <c r="D1308">
        <v>5</v>
      </c>
      <c r="E1308">
        <v>49.9</v>
      </c>
      <c r="F1308" t="str">
        <f t="shared" si="40"/>
        <v>2025-02</v>
      </c>
      <c r="G1308">
        <f t="shared" si="41"/>
        <v>249.5</v>
      </c>
      <c r="H1308" s="2">
        <v>45706.857630524908</v>
      </c>
      <c r="I1308" t="s">
        <v>34</v>
      </c>
      <c r="J1308" t="s">
        <v>2659</v>
      </c>
    </row>
    <row r="1309" spans="1:10" x14ac:dyDescent="0.3">
      <c r="A1309" t="s">
        <v>2660</v>
      </c>
      <c r="B1309" t="s">
        <v>25</v>
      </c>
      <c r="C1309" t="s">
        <v>30</v>
      </c>
      <c r="D1309">
        <v>3</v>
      </c>
      <c r="E1309">
        <v>42.86</v>
      </c>
      <c r="F1309" t="str">
        <f t="shared" si="40"/>
        <v>2024-10</v>
      </c>
      <c r="G1309">
        <f t="shared" si="41"/>
        <v>128.57999999999998</v>
      </c>
      <c r="H1309" s="2">
        <v>45588.857630524908</v>
      </c>
      <c r="I1309" t="s">
        <v>35</v>
      </c>
      <c r="J1309" t="s">
        <v>2661</v>
      </c>
    </row>
    <row r="1310" spans="1:10" x14ac:dyDescent="0.3">
      <c r="A1310" t="s">
        <v>2662</v>
      </c>
      <c r="B1310" t="s">
        <v>27</v>
      </c>
      <c r="C1310" t="s">
        <v>28</v>
      </c>
      <c r="D1310">
        <v>5</v>
      </c>
      <c r="E1310">
        <v>12.3</v>
      </c>
      <c r="F1310" t="str">
        <f t="shared" si="40"/>
        <v>2024-11</v>
      </c>
      <c r="G1310">
        <f t="shared" si="41"/>
        <v>61.5</v>
      </c>
      <c r="H1310" s="2">
        <v>45612.857630524908</v>
      </c>
      <c r="I1310" t="s">
        <v>33</v>
      </c>
      <c r="J1310" t="s">
        <v>2663</v>
      </c>
    </row>
    <row r="1311" spans="1:10" x14ac:dyDescent="0.3">
      <c r="A1311" t="s">
        <v>2664</v>
      </c>
      <c r="B1311" t="s">
        <v>27</v>
      </c>
      <c r="C1311" t="s">
        <v>28</v>
      </c>
      <c r="D1311">
        <v>5</v>
      </c>
      <c r="E1311">
        <v>34.56</v>
      </c>
      <c r="F1311" t="str">
        <f t="shared" si="40"/>
        <v>2024-09</v>
      </c>
      <c r="G1311">
        <f t="shared" si="41"/>
        <v>172.8</v>
      </c>
      <c r="H1311" s="2">
        <v>45549.857630524908</v>
      </c>
      <c r="I1311" t="s">
        <v>33</v>
      </c>
      <c r="J1311" t="s">
        <v>2665</v>
      </c>
    </row>
    <row r="1312" spans="1:10" x14ac:dyDescent="0.3">
      <c r="A1312" t="s">
        <v>2666</v>
      </c>
      <c r="B1312" t="s">
        <v>17</v>
      </c>
      <c r="C1312" t="s">
        <v>29</v>
      </c>
      <c r="D1312">
        <v>1</v>
      </c>
      <c r="E1312">
        <v>43.56</v>
      </c>
      <c r="F1312" t="str">
        <f t="shared" si="40"/>
        <v>2025-01</v>
      </c>
      <c r="G1312">
        <f t="shared" si="41"/>
        <v>43.56</v>
      </c>
      <c r="H1312" s="2">
        <v>45677.857630524908</v>
      </c>
      <c r="I1312" t="s">
        <v>34</v>
      </c>
      <c r="J1312" t="s">
        <v>2667</v>
      </c>
    </row>
    <row r="1313" spans="1:10" x14ac:dyDescent="0.3">
      <c r="A1313" t="s">
        <v>2668</v>
      </c>
      <c r="B1313" t="s">
        <v>23</v>
      </c>
      <c r="C1313" t="s">
        <v>28</v>
      </c>
      <c r="D1313">
        <v>2</v>
      </c>
      <c r="E1313">
        <v>53.91</v>
      </c>
      <c r="F1313" t="str">
        <f t="shared" si="40"/>
        <v>2024-08</v>
      </c>
      <c r="G1313">
        <f t="shared" si="41"/>
        <v>107.82</v>
      </c>
      <c r="H1313" s="2">
        <v>45519.857630524908</v>
      </c>
      <c r="I1313" t="s">
        <v>34</v>
      </c>
      <c r="J1313" t="s">
        <v>2669</v>
      </c>
    </row>
    <row r="1314" spans="1:10" x14ac:dyDescent="0.3">
      <c r="A1314" t="s">
        <v>2670</v>
      </c>
      <c r="B1314" t="s">
        <v>22</v>
      </c>
      <c r="C1314" t="s">
        <v>30</v>
      </c>
      <c r="D1314">
        <v>2</v>
      </c>
      <c r="E1314">
        <v>18.739999999999998</v>
      </c>
      <c r="F1314" t="str">
        <f t="shared" si="40"/>
        <v>2024-12</v>
      </c>
      <c r="G1314">
        <f t="shared" si="41"/>
        <v>37.479999999999997</v>
      </c>
      <c r="H1314" s="2">
        <v>45651.857630524908</v>
      </c>
      <c r="I1314" t="s">
        <v>34</v>
      </c>
      <c r="J1314" t="s">
        <v>2671</v>
      </c>
    </row>
    <row r="1315" spans="1:10" x14ac:dyDescent="0.3">
      <c r="A1315" t="s">
        <v>2672</v>
      </c>
      <c r="B1315" t="s">
        <v>16</v>
      </c>
      <c r="C1315" t="s">
        <v>29</v>
      </c>
      <c r="D1315">
        <v>2</v>
      </c>
      <c r="E1315">
        <v>19.41</v>
      </c>
      <c r="F1315" t="str">
        <f t="shared" si="40"/>
        <v>2025-03</v>
      </c>
      <c r="G1315">
        <f t="shared" si="41"/>
        <v>38.82</v>
      </c>
      <c r="H1315" s="2">
        <v>45718.857630524908</v>
      </c>
      <c r="I1315" t="s">
        <v>32</v>
      </c>
      <c r="J1315" t="s">
        <v>2673</v>
      </c>
    </row>
    <row r="1316" spans="1:10" x14ac:dyDescent="0.3">
      <c r="A1316" t="s">
        <v>2674</v>
      </c>
      <c r="B1316" t="s">
        <v>19</v>
      </c>
      <c r="C1316" t="s">
        <v>28</v>
      </c>
      <c r="D1316">
        <v>3</v>
      </c>
      <c r="E1316">
        <v>11.29</v>
      </c>
      <c r="F1316" t="str">
        <f t="shared" si="40"/>
        <v>2024-04</v>
      </c>
      <c r="G1316">
        <f t="shared" si="41"/>
        <v>33.869999999999997</v>
      </c>
      <c r="H1316" s="2">
        <v>45410.857630524908</v>
      </c>
      <c r="I1316" t="s">
        <v>34</v>
      </c>
      <c r="J1316" t="s">
        <v>2675</v>
      </c>
    </row>
    <row r="1317" spans="1:10" x14ac:dyDescent="0.3">
      <c r="A1317" t="s">
        <v>2676</v>
      </c>
      <c r="B1317" t="s">
        <v>19</v>
      </c>
      <c r="C1317" t="s">
        <v>28</v>
      </c>
      <c r="D1317">
        <v>5</v>
      </c>
      <c r="E1317">
        <v>41.84</v>
      </c>
      <c r="F1317" t="str">
        <f t="shared" si="40"/>
        <v>2024-12</v>
      </c>
      <c r="G1317">
        <f t="shared" si="41"/>
        <v>209.20000000000002</v>
      </c>
      <c r="H1317" s="2">
        <v>45637.857630524908</v>
      </c>
      <c r="I1317" t="s">
        <v>35</v>
      </c>
      <c r="J1317" t="s">
        <v>2677</v>
      </c>
    </row>
    <row r="1318" spans="1:10" x14ac:dyDescent="0.3">
      <c r="A1318" t="s">
        <v>2678</v>
      </c>
      <c r="B1318" t="s">
        <v>20</v>
      </c>
      <c r="C1318" t="s">
        <v>30</v>
      </c>
      <c r="D1318">
        <v>5</v>
      </c>
      <c r="E1318">
        <v>51.23</v>
      </c>
      <c r="F1318" t="str">
        <f t="shared" si="40"/>
        <v>2024-08</v>
      </c>
      <c r="G1318">
        <f t="shared" si="41"/>
        <v>256.14999999999998</v>
      </c>
      <c r="H1318" s="2">
        <v>45505.857630524908</v>
      </c>
      <c r="I1318" t="s">
        <v>34</v>
      </c>
      <c r="J1318" t="s">
        <v>2679</v>
      </c>
    </row>
    <row r="1319" spans="1:10" x14ac:dyDescent="0.3">
      <c r="A1319" t="s">
        <v>2680</v>
      </c>
      <c r="B1319" t="s">
        <v>20</v>
      </c>
      <c r="C1319" t="s">
        <v>30</v>
      </c>
      <c r="D1319">
        <v>1</v>
      </c>
      <c r="E1319">
        <v>44.03</v>
      </c>
      <c r="F1319" t="str">
        <f t="shared" si="40"/>
        <v>2024-10</v>
      </c>
      <c r="G1319">
        <f t="shared" si="41"/>
        <v>44.03</v>
      </c>
      <c r="H1319" s="2">
        <v>45590.857630524908</v>
      </c>
      <c r="I1319" t="s">
        <v>33</v>
      </c>
      <c r="J1319" t="s">
        <v>2681</v>
      </c>
    </row>
    <row r="1320" spans="1:10" x14ac:dyDescent="0.3">
      <c r="A1320" t="s">
        <v>2682</v>
      </c>
      <c r="B1320" t="s">
        <v>20</v>
      </c>
      <c r="C1320" t="s">
        <v>30</v>
      </c>
      <c r="D1320">
        <v>5</v>
      </c>
      <c r="E1320">
        <v>22.96</v>
      </c>
      <c r="F1320" t="str">
        <f t="shared" si="40"/>
        <v>2024-05</v>
      </c>
      <c r="G1320">
        <f t="shared" si="41"/>
        <v>114.80000000000001</v>
      </c>
      <c r="H1320" s="2">
        <v>45414.857630524908</v>
      </c>
      <c r="I1320" t="s">
        <v>34</v>
      </c>
      <c r="J1320" t="s">
        <v>2683</v>
      </c>
    </row>
    <row r="1321" spans="1:10" x14ac:dyDescent="0.3">
      <c r="A1321" t="s">
        <v>2684</v>
      </c>
      <c r="B1321" t="s">
        <v>20</v>
      </c>
      <c r="C1321" t="s">
        <v>30</v>
      </c>
      <c r="D1321">
        <v>2</v>
      </c>
      <c r="E1321">
        <v>57.52</v>
      </c>
      <c r="F1321" t="str">
        <f t="shared" si="40"/>
        <v>2024-04</v>
      </c>
      <c r="G1321">
        <f t="shared" si="41"/>
        <v>115.04</v>
      </c>
      <c r="H1321" s="2">
        <v>45402.857630524908</v>
      </c>
      <c r="I1321" t="s">
        <v>33</v>
      </c>
      <c r="J1321" t="s">
        <v>2685</v>
      </c>
    </row>
    <row r="1322" spans="1:10" x14ac:dyDescent="0.3">
      <c r="A1322" t="s">
        <v>2686</v>
      </c>
      <c r="B1322" t="s">
        <v>25</v>
      </c>
      <c r="C1322" t="s">
        <v>30</v>
      </c>
      <c r="D1322">
        <v>3</v>
      </c>
      <c r="E1322">
        <v>21.22</v>
      </c>
      <c r="F1322" t="str">
        <f t="shared" si="40"/>
        <v>2024-05</v>
      </c>
      <c r="G1322">
        <f t="shared" si="41"/>
        <v>63.66</v>
      </c>
      <c r="H1322" s="2">
        <v>45428.857630524908</v>
      </c>
      <c r="I1322" t="s">
        <v>32</v>
      </c>
      <c r="J1322" t="s">
        <v>2687</v>
      </c>
    </row>
    <row r="1323" spans="1:10" x14ac:dyDescent="0.3">
      <c r="A1323" t="s">
        <v>2688</v>
      </c>
      <c r="B1323" t="s">
        <v>18</v>
      </c>
      <c r="C1323" t="s">
        <v>29</v>
      </c>
      <c r="D1323">
        <v>2</v>
      </c>
      <c r="E1323">
        <v>38.729999999999997</v>
      </c>
      <c r="F1323" t="str">
        <f t="shared" si="40"/>
        <v>2024-08</v>
      </c>
      <c r="G1323">
        <f t="shared" si="41"/>
        <v>77.459999999999994</v>
      </c>
      <c r="H1323" s="2">
        <v>45516.857630524908</v>
      </c>
      <c r="I1323" t="s">
        <v>33</v>
      </c>
      <c r="J1323" t="s">
        <v>2689</v>
      </c>
    </row>
    <row r="1324" spans="1:10" x14ac:dyDescent="0.3">
      <c r="A1324" t="s">
        <v>2690</v>
      </c>
      <c r="B1324" t="s">
        <v>17</v>
      </c>
      <c r="C1324" t="s">
        <v>29</v>
      </c>
      <c r="D1324">
        <v>1</v>
      </c>
      <c r="E1324">
        <v>47.24</v>
      </c>
      <c r="F1324" t="str">
        <f t="shared" si="40"/>
        <v>2025-02</v>
      </c>
      <c r="G1324">
        <f t="shared" si="41"/>
        <v>47.24</v>
      </c>
      <c r="H1324" s="2">
        <v>45712.857630524908</v>
      </c>
      <c r="I1324" t="s">
        <v>35</v>
      </c>
      <c r="J1324" t="s">
        <v>2691</v>
      </c>
    </row>
    <row r="1325" spans="1:10" x14ac:dyDescent="0.3">
      <c r="A1325" t="s">
        <v>2692</v>
      </c>
      <c r="B1325" t="s">
        <v>26</v>
      </c>
      <c r="C1325" t="s">
        <v>28</v>
      </c>
      <c r="D1325">
        <v>5</v>
      </c>
      <c r="E1325">
        <v>56.84</v>
      </c>
      <c r="F1325" t="str">
        <f t="shared" si="40"/>
        <v>2024-07</v>
      </c>
      <c r="G1325">
        <f t="shared" si="41"/>
        <v>284.20000000000005</v>
      </c>
      <c r="H1325" s="2">
        <v>45500.857630524908</v>
      </c>
      <c r="I1325" t="s">
        <v>33</v>
      </c>
      <c r="J1325" t="s">
        <v>2693</v>
      </c>
    </row>
    <row r="1326" spans="1:10" x14ac:dyDescent="0.3">
      <c r="A1326" t="s">
        <v>2694</v>
      </c>
      <c r="B1326" t="s">
        <v>16</v>
      </c>
      <c r="C1326" t="s">
        <v>29</v>
      </c>
      <c r="D1326">
        <v>5</v>
      </c>
      <c r="E1326">
        <v>35.51</v>
      </c>
      <c r="F1326" t="str">
        <f t="shared" si="40"/>
        <v>2024-09</v>
      </c>
      <c r="G1326">
        <f t="shared" si="41"/>
        <v>177.54999999999998</v>
      </c>
      <c r="H1326" s="2">
        <v>45557.857630524908</v>
      </c>
      <c r="I1326" t="s">
        <v>32</v>
      </c>
      <c r="J1326" t="s">
        <v>2695</v>
      </c>
    </row>
    <row r="1327" spans="1:10" x14ac:dyDescent="0.3">
      <c r="A1327" t="s">
        <v>2696</v>
      </c>
      <c r="B1327" t="s">
        <v>16</v>
      </c>
      <c r="C1327" t="s">
        <v>29</v>
      </c>
      <c r="D1327">
        <v>4</v>
      </c>
      <c r="E1327">
        <v>51.94</v>
      </c>
      <c r="F1327" t="str">
        <f t="shared" si="40"/>
        <v>2024-08</v>
      </c>
      <c r="G1327">
        <f t="shared" si="41"/>
        <v>207.76</v>
      </c>
      <c r="H1327" s="2">
        <v>45517.857630524908</v>
      </c>
      <c r="I1327" t="s">
        <v>32</v>
      </c>
      <c r="J1327" t="s">
        <v>2697</v>
      </c>
    </row>
    <row r="1328" spans="1:10" x14ac:dyDescent="0.3">
      <c r="A1328" t="s">
        <v>2698</v>
      </c>
      <c r="B1328" t="s">
        <v>24</v>
      </c>
      <c r="C1328" t="s">
        <v>28</v>
      </c>
      <c r="D1328">
        <v>2</v>
      </c>
      <c r="E1328">
        <v>45.01</v>
      </c>
      <c r="F1328" t="str">
        <f t="shared" si="40"/>
        <v>2024-10</v>
      </c>
      <c r="G1328">
        <f t="shared" si="41"/>
        <v>90.02</v>
      </c>
      <c r="H1328" s="2">
        <v>45577.857630524908</v>
      </c>
      <c r="I1328" t="s">
        <v>33</v>
      </c>
      <c r="J1328" t="s">
        <v>2699</v>
      </c>
    </row>
    <row r="1329" spans="1:10" x14ac:dyDescent="0.3">
      <c r="A1329" t="s">
        <v>2700</v>
      </c>
      <c r="B1329" t="s">
        <v>18</v>
      </c>
      <c r="C1329" t="s">
        <v>29</v>
      </c>
      <c r="D1329">
        <v>4</v>
      </c>
      <c r="E1329">
        <v>48.56</v>
      </c>
      <c r="F1329" t="str">
        <f t="shared" si="40"/>
        <v>2024-06</v>
      </c>
      <c r="G1329">
        <f t="shared" si="41"/>
        <v>194.24</v>
      </c>
      <c r="H1329" s="2">
        <v>45461.857630524908</v>
      </c>
      <c r="I1329" t="s">
        <v>31</v>
      </c>
      <c r="J1329" t="s">
        <v>2701</v>
      </c>
    </row>
    <row r="1330" spans="1:10" x14ac:dyDescent="0.3">
      <c r="A1330" t="s">
        <v>2702</v>
      </c>
      <c r="B1330" t="s">
        <v>17</v>
      </c>
      <c r="C1330" t="s">
        <v>29</v>
      </c>
      <c r="D1330">
        <v>2</v>
      </c>
      <c r="E1330">
        <v>40.47</v>
      </c>
      <c r="F1330" t="str">
        <f t="shared" si="40"/>
        <v>2024-06</v>
      </c>
      <c r="G1330">
        <f t="shared" si="41"/>
        <v>80.94</v>
      </c>
      <c r="H1330" s="2">
        <v>45444.857630524908</v>
      </c>
      <c r="I1330" t="s">
        <v>31</v>
      </c>
      <c r="J1330" t="s">
        <v>2703</v>
      </c>
    </row>
    <row r="1331" spans="1:10" x14ac:dyDescent="0.3">
      <c r="A1331" t="s">
        <v>2704</v>
      </c>
      <c r="B1331" t="s">
        <v>21</v>
      </c>
      <c r="C1331" t="s">
        <v>30</v>
      </c>
      <c r="D1331">
        <v>5</v>
      </c>
      <c r="E1331">
        <v>43.03</v>
      </c>
      <c r="F1331" t="str">
        <f t="shared" si="40"/>
        <v>2025-03</v>
      </c>
      <c r="G1331">
        <f t="shared" si="41"/>
        <v>215.15</v>
      </c>
      <c r="H1331" s="2">
        <v>45717.857630524908</v>
      </c>
      <c r="I1331" t="s">
        <v>31</v>
      </c>
      <c r="J1331" t="s">
        <v>2705</v>
      </c>
    </row>
    <row r="1332" spans="1:10" x14ac:dyDescent="0.3">
      <c r="A1332" t="s">
        <v>2706</v>
      </c>
      <c r="B1332" t="s">
        <v>24</v>
      </c>
      <c r="C1332" t="s">
        <v>28</v>
      </c>
      <c r="D1332">
        <v>2</v>
      </c>
      <c r="E1332">
        <v>38.71</v>
      </c>
      <c r="F1332" t="str">
        <f t="shared" si="40"/>
        <v>2024-12</v>
      </c>
      <c r="G1332">
        <f t="shared" si="41"/>
        <v>77.42</v>
      </c>
      <c r="H1332" s="2">
        <v>45631.857630524908</v>
      </c>
      <c r="I1332" t="s">
        <v>35</v>
      </c>
      <c r="J1332" t="s">
        <v>2707</v>
      </c>
    </row>
    <row r="1333" spans="1:10" x14ac:dyDescent="0.3">
      <c r="A1333" t="s">
        <v>2708</v>
      </c>
      <c r="B1333" t="s">
        <v>22</v>
      </c>
      <c r="C1333" t="s">
        <v>30</v>
      </c>
      <c r="D1333">
        <v>4</v>
      </c>
      <c r="E1333">
        <v>53.91</v>
      </c>
      <c r="F1333" t="str">
        <f t="shared" si="40"/>
        <v>2024-09</v>
      </c>
      <c r="G1333">
        <f t="shared" si="41"/>
        <v>215.64</v>
      </c>
      <c r="H1333" s="2">
        <v>45562.857630524908</v>
      </c>
      <c r="I1333" t="s">
        <v>32</v>
      </c>
      <c r="J1333" t="s">
        <v>2709</v>
      </c>
    </row>
    <row r="1334" spans="1:10" x14ac:dyDescent="0.3">
      <c r="A1334" t="s">
        <v>2710</v>
      </c>
      <c r="B1334" t="s">
        <v>23</v>
      </c>
      <c r="C1334" t="s">
        <v>28</v>
      </c>
      <c r="D1334">
        <v>5</v>
      </c>
      <c r="E1334">
        <v>11.89</v>
      </c>
      <c r="F1334" t="str">
        <f t="shared" si="40"/>
        <v>2025-02</v>
      </c>
      <c r="G1334">
        <f t="shared" si="41"/>
        <v>59.45</v>
      </c>
      <c r="H1334" s="2">
        <v>45696.857630524908</v>
      </c>
      <c r="I1334" t="s">
        <v>31</v>
      </c>
      <c r="J1334" t="s">
        <v>2711</v>
      </c>
    </row>
    <row r="1335" spans="1:10" x14ac:dyDescent="0.3">
      <c r="A1335" t="s">
        <v>2712</v>
      </c>
      <c r="B1335" t="s">
        <v>21</v>
      </c>
      <c r="C1335" t="s">
        <v>30</v>
      </c>
      <c r="D1335">
        <v>5</v>
      </c>
      <c r="E1335">
        <v>20.16</v>
      </c>
      <c r="F1335" t="str">
        <f t="shared" si="40"/>
        <v>2025-03</v>
      </c>
      <c r="G1335">
        <f t="shared" si="41"/>
        <v>100.8</v>
      </c>
      <c r="H1335" s="2">
        <v>45722.857630524908</v>
      </c>
      <c r="I1335" t="s">
        <v>31</v>
      </c>
      <c r="J1335" t="s">
        <v>2713</v>
      </c>
    </row>
    <row r="1336" spans="1:10" x14ac:dyDescent="0.3">
      <c r="A1336" t="s">
        <v>2714</v>
      </c>
      <c r="B1336" t="s">
        <v>19</v>
      </c>
      <c r="C1336" t="s">
        <v>28</v>
      </c>
      <c r="D1336">
        <v>2</v>
      </c>
      <c r="E1336">
        <v>37.380000000000003</v>
      </c>
      <c r="F1336" t="str">
        <f t="shared" si="40"/>
        <v>2025-04</v>
      </c>
      <c r="G1336">
        <f t="shared" si="41"/>
        <v>74.760000000000005</v>
      </c>
      <c r="H1336" s="2">
        <v>45749.857630524908</v>
      </c>
      <c r="I1336" t="s">
        <v>34</v>
      </c>
      <c r="J1336" t="s">
        <v>2715</v>
      </c>
    </row>
    <row r="1337" spans="1:10" x14ac:dyDescent="0.3">
      <c r="A1337" t="s">
        <v>2716</v>
      </c>
      <c r="B1337" t="s">
        <v>22</v>
      </c>
      <c r="C1337" t="s">
        <v>30</v>
      </c>
      <c r="D1337">
        <v>1</v>
      </c>
      <c r="E1337">
        <v>18.78</v>
      </c>
      <c r="F1337" t="str">
        <f t="shared" si="40"/>
        <v>2024-09</v>
      </c>
      <c r="G1337">
        <f t="shared" si="41"/>
        <v>18.78</v>
      </c>
      <c r="H1337" s="2">
        <v>45539.857630524908</v>
      </c>
      <c r="I1337" t="s">
        <v>32</v>
      </c>
      <c r="J1337" t="s">
        <v>2717</v>
      </c>
    </row>
    <row r="1338" spans="1:10" x14ac:dyDescent="0.3">
      <c r="A1338" t="s">
        <v>2718</v>
      </c>
      <c r="B1338" t="s">
        <v>18</v>
      </c>
      <c r="C1338" t="s">
        <v>29</v>
      </c>
      <c r="D1338">
        <v>4</v>
      </c>
      <c r="E1338">
        <v>50.99</v>
      </c>
      <c r="F1338" t="str">
        <f t="shared" si="40"/>
        <v>2024-05</v>
      </c>
      <c r="G1338">
        <f t="shared" si="41"/>
        <v>203.96</v>
      </c>
      <c r="H1338" s="2">
        <v>45419.857630524908</v>
      </c>
      <c r="I1338" t="s">
        <v>32</v>
      </c>
      <c r="J1338" t="s">
        <v>2719</v>
      </c>
    </row>
    <row r="1339" spans="1:10" x14ac:dyDescent="0.3">
      <c r="A1339" t="s">
        <v>2720</v>
      </c>
      <c r="B1339" t="s">
        <v>26</v>
      </c>
      <c r="C1339" t="s">
        <v>28</v>
      </c>
      <c r="D1339">
        <v>2</v>
      </c>
      <c r="E1339">
        <v>15.5</v>
      </c>
      <c r="F1339" t="str">
        <f t="shared" si="40"/>
        <v>2024-06</v>
      </c>
      <c r="G1339">
        <f t="shared" si="41"/>
        <v>31</v>
      </c>
      <c r="H1339" s="2">
        <v>45462.857630524908</v>
      </c>
      <c r="I1339" t="s">
        <v>31</v>
      </c>
      <c r="J1339" t="s">
        <v>2721</v>
      </c>
    </row>
    <row r="1340" spans="1:10" x14ac:dyDescent="0.3">
      <c r="A1340" t="s">
        <v>2722</v>
      </c>
      <c r="B1340" t="s">
        <v>17</v>
      </c>
      <c r="C1340" t="s">
        <v>29</v>
      </c>
      <c r="D1340">
        <v>5</v>
      </c>
      <c r="E1340">
        <v>28.22</v>
      </c>
      <c r="F1340" t="str">
        <f t="shared" si="40"/>
        <v>2024-12</v>
      </c>
      <c r="G1340">
        <f t="shared" si="41"/>
        <v>141.1</v>
      </c>
      <c r="H1340" s="2">
        <v>45627.857630524908</v>
      </c>
      <c r="I1340" t="s">
        <v>31</v>
      </c>
      <c r="J1340" t="s">
        <v>2723</v>
      </c>
    </row>
    <row r="1341" spans="1:10" x14ac:dyDescent="0.3">
      <c r="A1341" t="s">
        <v>2724</v>
      </c>
      <c r="B1341" t="s">
        <v>17</v>
      </c>
      <c r="C1341" t="s">
        <v>29</v>
      </c>
      <c r="D1341">
        <v>3</v>
      </c>
      <c r="E1341">
        <v>31.24</v>
      </c>
      <c r="F1341" t="str">
        <f t="shared" si="40"/>
        <v>2024-05</v>
      </c>
      <c r="G1341">
        <f t="shared" si="41"/>
        <v>93.72</v>
      </c>
      <c r="H1341" s="2">
        <v>45430.857630524908</v>
      </c>
      <c r="I1341" t="s">
        <v>34</v>
      </c>
      <c r="J1341" t="s">
        <v>2725</v>
      </c>
    </row>
    <row r="1342" spans="1:10" x14ac:dyDescent="0.3">
      <c r="A1342" t="s">
        <v>2726</v>
      </c>
      <c r="B1342" t="s">
        <v>23</v>
      </c>
      <c r="C1342" t="s">
        <v>28</v>
      </c>
      <c r="D1342">
        <v>2</v>
      </c>
      <c r="E1342">
        <v>29.16</v>
      </c>
      <c r="F1342" t="str">
        <f t="shared" si="40"/>
        <v>2024-10</v>
      </c>
      <c r="G1342">
        <f t="shared" si="41"/>
        <v>58.32</v>
      </c>
      <c r="H1342" s="2">
        <v>45593.857630524908</v>
      </c>
      <c r="I1342" t="s">
        <v>34</v>
      </c>
      <c r="J1342" t="s">
        <v>2727</v>
      </c>
    </row>
    <row r="1343" spans="1:10" x14ac:dyDescent="0.3">
      <c r="A1343" t="s">
        <v>2728</v>
      </c>
      <c r="B1343" t="s">
        <v>20</v>
      </c>
      <c r="C1343" t="s">
        <v>30</v>
      </c>
      <c r="D1343">
        <v>2</v>
      </c>
      <c r="E1343">
        <v>25.5</v>
      </c>
      <c r="F1343" t="str">
        <f t="shared" si="40"/>
        <v>2024-09</v>
      </c>
      <c r="G1343">
        <f t="shared" si="41"/>
        <v>51</v>
      </c>
      <c r="H1343" s="2">
        <v>45538.857630524908</v>
      </c>
      <c r="I1343" t="s">
        <v>35</v>
      </c>
      <c r="J1343" t="s">
        <v>2729</v>
      </c>
    </row>
    <row r="1344" spans="1:10" x14ac:dyDescent="0.3">
      <c r="A1344" t="s">
        <v>2730</v>
      </c>
      <c r="B1344" t="s">
        <v>24</v>
      </c>
      <c r="C1344" t="s">
        <v>28</v>
      </c>
      <c r="D1344">
        <v>1</v>
      </c>
      <c r="E1344">
        <v>32.549999999999997</v>
      </c>
      <c r="F1344" t="str">
        <f t="shared" si="40"/>
        <v>2024-10</v>
      </c>
      <c r="G1344">
        <f t="shared" si="41"/>
        <v>32.549999999999997</v>
      </c>
      <c r="H1344" s="2">
        <v>45572.857630524908</v>
      </c>
      <c r="I1344" t="s">
        <v>32</v>
      </c>
      <c r="J1344" t="s">
        <v>2731</v>
      </c>
    </row>
    <row r="1345" spans="1:10" x14ac:dyDescent="0.3">
      <c r="A1345" t="s">
        <v>2732</v>
      </c>
      <c r="B1345" t="s">
        <v>25</v>
      </c>
      <c r="C1345" t="s">
        <v>30</v>
      </c>
      <c r="D1345">
        <v>1</v>
      </c>
      <c r="E1345">
        <v>39.6</v>
      </c>
      <c r="F1345" t="str">
        <f t="shared" si="40"/>
        <v>2024-05</v>
      </c>
      <c r="G1345">
        <f t="shared" si="41"/>
        <v>39.6</v>
      </c>
      <c r="H1345" s="2">
        <v>45430.857630524908</v>
      </c>
      <c r="I1345" t="s">
        <v>31</v>
      </c>
      <c r="J1345" t="s">
        <v>2733</v>
      </c>
    </row>
    <row r="1346" spans="1:10" x14ac:dyDescent="0.3">
      <c r="A1346" t="s">
        <v>2734</v>
      </c>
      <c r="B1346" t="s">
        <v>17</v>
      </c>
      <c r="C1346" t="s">
        <v>29</v>
      </c>
      <c r="D1346">
        <v>2</v>
      </c>
      <c r="E1346">
        <v>25.8</v>
      </c>
      <c r="F1346" t="str">
        <f t="shared" si="40"/>
        <v>2024-05</v>
      </c>
      <c r="G1346">
        <f t="shared" si="41"/>
        <v>51.6</v>
      </c>
      <c r="H1346" s="2">
        <v>45427.857630524908</v>
      </c>
      <c r="I1346" t="s">
        <v>34</v>
      </c>
      <c r="J1346" t="s">
        <v>2735</v>
      </c>
    </row>
    <row r="1347" spans="1:10" x14ac:dyDescent="0.3">
      <c r="A1347" t="s">
        <v>2736</v>
      </c>
      <c r="B1347" t="s">
        <v>22</v>
      </c>
      <c r="C1347" t="s">
        <v>30</v>
      </c>
      <c r="D1347">
        <v>1</v>
      </c>
      <c r="E1347">
        <v>15.44</v>
      </c>
      <c r="F1347" t="str">
        <f t="shared" ref="F1347:F1410" si="42">TEXT(H1347, "yyyy-mm")</f>
        <v>2024-08</v>
      </c>
      <c r="G1347">
        <f t="shared" ref="G1347:G1410" si="43">D1347*E1347</f>
        <v>15.44</v>
      </c>
      <c r="H1347" s="2">
        <v>45524.857630524908</v>
      </c>
      <c r="I1347" t="s">
        <v>34</v>
      </c>
      <c r="J1347" t="s">
        <v>2737</v>
      </c>
    </row>
    <row r="1348" spans="1:10" x14ac:dyDescent="0.3">
      <c r="A1348" t="s">
        <v>2738</v>
      </c>
      <c r="B1348" t="s">
        <v>20</v>
      </c>
      <c r="C1348" t="s">
        <v>30</v>
      </c>
      <c r="D1348">
        <v>1</v>
      </c>
      <c r="E1348">
        <v>23.98</v>
      </c>
      <c r="F1348" t="str">
        <f t="shared" si="42"/>
        <v>2024-04</v>
      </c>
      <c r="G1348">
        <f t="shared" si="43"/>
        <v>23.98</v>
      </c>
      <c r="H1348" s="2">
        <v>45411.857630524908</v>
      </c>
      <c r="I1348" t="s">
        <v>32</v>
      </c>
      <c r="J1348" t="s">
        <v>2739</v>
      </c>
    </row>
    <row r="1349" spans="1:10" x14ac:dyDescent="0.3">
      <c r="A1349" t="s">
        <v>2740</v>
      </c>
      <c r="B1349" t="s">
        <v>18</v>
      </c>
      <c r="C1349" t="s">
        <v>29</v>
      </c>
      <c r="D1349">
        <v>4</v>
      </c>
      <c r="E1349">
        <v>50.77</v>
      </c>
      <c r="F1349" t="str">
        <f t="shared" si="42"/>
        <v>2024-07</v>
      </c>
      <c r="G1349">
        <f t="shared" si="43"/>
        <v>203.08</v>
      </c>
      <c r="H1349" s="2">
        <v>45489.857630524908</v>
      </c>
      <c r="I1349" t="s">
        <v>32</v>
      </c>
      <c r="J1349" t="s">
        <v>2741</v>
      </c>
    </row>
    <row r="1350" spans="1:10" x14ac:dyDescent="0.3">
      <c r="A1350" t="s">
        <v>2742</v>
      </c>
      <c r="B1350" t="s">
        <v>25</v>
      </c>
      <c r="C1350" t="s">
        <v>30</v>
      </c>
      <c r="D1350">
        <v>2</v>
      </c>
      <c r="E1350">
        <v>21.88</v>
      </c>
      <c r="F1350" t="str">
        <f t="shared" si="42"/>
        <v>2024-05</v>
      </c>
      <c r="G1350">
        <f t="shared" si="43"/>
        <v>43.76</v>
      </c>
      <c r="H1350" s="2">
        <v>45418.857630524908</v>
      </c>
      <c r="I1350" t="s">
        <v>35</v>
      </c>
      <c r="J1350" t="s">
        <v>2743</v>
      </c>
    </row>
    <row r="1351" spans="1:10" x14ac:dyDescent="0.3">
      <c r="A1351" t="s">
        <v>2744</v>
      </c>
      <c r="B1351" t="s">
        <v>16</v>
      </c>
      <c r="C1351" t="s">
        <v>29</v>
      </c>
      <c r="D1351">
        <v>4</v>
      </c>
      <c r="E1351">
        <v>44.74</v>
      </c>
      <c r="F1351" t="str">
        <f t="shared" si="42"/>
        <v>2024-09</v>
      </c>
      <c r="G1351">
        <f t="shared" si="43"/>
        <v>178.96</v>
      </c>
      <c r="H1351" s="2">
        <v>45539.857630524908</v>
      </c>
      <c r="I1351" t="s">
        <v>35</v>
      </c>
      <c r="J1351" t="s">
        <v>2745</v>
      </c>
    </row>
    <row r="1352" spans="1:10" x14ac:dyDescent="0.3">
      <c r="A1352" t="s">
        <v>2746</v>
      </c>
      <c r="B1352" t="s">
        <v>25</v>
      </c>
      <c r="C1352" t="s">
        <v>30</v>
      </c>
      <c r="D1352">
        <v>5</v>
      </c>
      <c r="E1352">
        <v>16.95</v>
      </c>
      <c r="F1352" t="str">
        <f t="shared" si="42"/>
        <v>2024-11</v>
      </c>
      <c r="G1352">
        <f t="shared" si="43"/>
        <v>84.75</v>
      </c>
      <c r="H1352" s="2">
        <v>45617.857630524908</v>
      </c>
      <c r="I1352" t="s">
        <v>31</v>
      </c>
      <c r="J1352" t="s">
        <v>2747</v>
      </c>
    </row>
    <row r="1353" spans="1:10" x14ac:dyDescent="0.3">
      <c r="A1353" t="s">
        <v>2748</v>
      </c>
      <c r="B1353" t="s">
        <v>18</v>
      </c>
      <c r="C1353" t="s">
        <v>29</v>
      </c>
      <c r="D1353">
        <v>1</v>
      </c>
      <c r="E1353">
        <v>19.77</v>
      </c>
      <c r="F1353" t="str">
        <f t="shared" si="42"/>
        <v>2024-08</v>
      </c>
      <c r="G1353">
        <f t="shared" si="43"/>
        <v>19.77</v>
      </c>
      <c r="H1353" s="2">
        <v>45527.857630524908</v>
      </c>
      <c r="I1353" t="s">
        <v>32</v>
      </c>
      <c r="J1353" t="s">
        <v>2749</v>
      </c>
    </row>
    <row r="1354" spans="1:10" x14ac:dyDescent="0.3">
      <c r="A1354" t="s">
        <v>2750</v>
      </c>
      <c r="B1354" t="s">
        <v>19</v>
      </c>
      <c r="C1354" t="s">
        <v>28</v>
      </c>
      <c r="D1354">
        <v>4</v>
      </c>
      <c r="E1354">
        <v>35.299999999999997</v>
      </c>
      <c r="F1354" t="str">
        <f t="shared" si="42"/>
        <v>2024-11</v>
      </c>
      <c r="G1354">
        <f t="shared" si="43"/>
        <v>141.19999999999999</v>
      </c>
      <c r="H1354" s="2">
        <v>45614.857630524908</v>
      </c>
      <c r="I1354" t="s">
        <v>34</v>
      </c>
      <c r="J1354" t="s">
        <v>2751</v>
      </c>
    </row>
    <row r="1355" spans="1:10" x14ac:dyDescent="0.3">
      <c r="A1355" t="s">
        <v>2752</v>
      </c>
      <c r="B1355" t="s">
        <v>26</v>
      </c>
      <c r="C1355" t="s">
        <v>28</v>
      </c>
      <c r="D1355">
        <v>3</v>
      </c>
      <c r="E1355">
        <v>46.52</v>
      </c>
      <c r="F1355" t="str">
        <f t="shared" si="42"/>
        <v>2024-05</v>
      </c>
      <c r="G1355">
        <f t="shared" si="43"/>
        <v>139.56</v>
      </c>
      <c r="H1355" s="2">
        <v>45426.857630524908</v>
      </c>
      <c r="I1355" t="s">
        <v>31</v>
      </c>
      <c r="J1355" t="s">
        <v>2753</v>
      </c>
    </row>
    <row r="1356" spans="1:10" x14ac:dyDescent="0.3">
      <c r="A1356" t="s">
        <v>2754</v>
      </c>
      <c r="B1356" t="s">
        <v>17</v>
      </c>
      <c r="C1356" t="s">
        <v>29</v>
      </c>
      <c r="D1356">
        <v>3</v>
      </c>
      <c r="E1356">
        <v>12.13</v>
      </c>
      <c r="F1356" t="str">
        <f t="shared" si="42"/>
        <v>2024-04</v>
      </c>
      <c r="G1356">
        <f t="shared" si="43"/>
        <v>36.39</v>
      </c>
      <c r="H1356" s="2">
        <v>45407.857630524908</v>
      </c>
      <c r="I1356" t="s">
        <v>34</v>
      </c>
      <c r="J1356" t="s">
        <v>2755</v>
      </c>
    </row>
    <row r="1357" spans="1:10" x14ac:dyDescent="0.3">
      <c r="A1357" t="s">
        <v>2756</v>
      </c>
      <c r="B1357" t="s">
        <v>19</v>
      </c>
      <c r="C1357" t="s">
        <v>28</v>
      </c>
      <c r="D1357">
        <v>3</v>
      </c>
      <c r="E1357">
        <v>20.51</v>
      </c>
      <c r="F1357" t="str">
        <f t="shared" si="42"/>
        <v>2024-04</v>
      </c>
      <c r="G1357">
        <f t="shared" si="43"/>
        <v>61.53</v>
      </c>
      <c r="H1357" s="2">
        <v>45389.857630524908</v>
      </c>
      <c r="I1357" t="s">
        <v>32</v>
      </c>
      <c r="J1357" t="s">
        <v>2757</v>
      </c>
    </row>
    <row r="1358" spans="1:10" x14ac:dyDescent="0.3">
      <c r="A1358" t="s">
        <v>2758</v>
      </c>
      <c r="B1358" t="s">
        <v>25</v>
      </c>
      <c r="C1358" t="s">
        <v>30</v>
      </c>
      <c r="D1358">
        <v>1</v>
      </c>
      <c r="E1358">
        <v>30.16</v>
      </c>
      <c r="F1358" t="str">
        <f t="shared" si="42"/>
        <v>2025-01</v>
      </c>
      <c r="G1358">
        <f t="shared" si="43"/>
        <v>30.16</v>
      </c>
      <c r="H1358" s="2">
        <v>45658.857630524908</v>
      </c>
      <c r="I1358" t="s">
        <v>34</v>
      </c>
      <c r="J1358" t="s">
        <v>2759</v>
      </c>
    </row>
    <row r="1359" spans="1:10" x14ac:dyDescent="0.3">
      <c r="A1359" t="s">
        <v>2760</v>
      </c>
      <c r="B1359" t="s">
        <v>19</v>
      </c>
      <c r="C1359" t="s">
        <v>28</v>
      </c>
      <c r="D1359">
        <v>1</v>
      </c>
      <c r="E1359">
        <v>31.45</v>
      </c>
      <c r="F1359" t="str">
        <f t="shared" si="42"/>
        <v>2025-02</v>
      </c>
      <c r="G1359">
        <f t="shared" si="43"/>
        <v>31.45</v>
      </c>
      <c r="H1359" s="2">
        <v>45701.857630524908</v>
      </c>
      <c r="I1359" t="s">
        <v>32</v>
      </c>
      <c r="J1359" t="s">
        <v>2761</v>
      </c>
    </row>
    <row r="1360" spans="1:10" x14ac:dyDescent="0.3">
      <c r="A1360" t="s">
        <v>2762</v>
      </c>
      <c r="B1360" t="s">
        <v>16</v>
      </c>
      <c r="C1360" t="s">
        <v>29</v>
      </c>
      <c r="D1360">
        <v>5</v>
      </c>
      <c r="E1360">
        <v>39.380000000000003</v>
      </c>
      <c r="F1360" t="str">
        <f t="shared" si="42"/>
        <v>2025-01</v>
      </c>
      <c r="G1360">
        <f t="shared" si="43"/>
        <v>196.9</v>
      </c>
      <c r="H1360" s="2">
        <v>45682.857630524908</v>
      </c>
      <c r="I1360" t="s">
        <v>33</v>
      </c>
      <c r="J1360" t="s">
        <v>2763</v>
      </c>
    </row>
    <row r="1361" spans="1:10" x14ac:dyDescent="0.3">
      <c r="A1361" t="s">
        <v>2764</v>
      </c>
      <c r="B1361" t="s">
        <v>19</v>
      </c>
      <c r="C1361" t="s">
        <v>28</v>
      </c>
      <c r="D1361">
        <v>4</v>
      </c>
      <c r="E1361">
        <v>36.89</v>
      </c>
      <c r="F1361" t="str">
        <f t="shared" si="42"/>
        <v>2024-06</v>
      </c>
      <c r="G1361">
        <f t="shared" si="43"/>
        <v>147.56</v>
      </c>
      <c r="H1361" s="2">
        <v>45459.857630524908</v>
      </c>
      <c r="I1361" t="s">
        <v>32</v>
      </c>
      <c r="J1361" t="s">
        <v>2765</v>
      </c>
    </row>
    <row r="1362" spans="1:10" x14ac:dyDescent="0.3">
      <c r="A1362" t="s">
        <v>2766</v>
      </c>
      <c r="B1362" t="s">
        <v>27</v>
      </c>
      <c r="C1362" t="s">
        <v>28</v>
      </c>
      <c r="D1362">
        <v>3</v>
      </c>
      <c r="E1362">
        <v>40.57</v>
      </c>
      <c r="F1362" t="str">
        <f t="shared" si="42"/>
        <v>2024-10</v>
      </c>
      <c r="G1362">
        <f t="shared" si="43"/>
        <v>121.71000000000001</v>
      </c>
      <c r="H1362" s="2">
        <v>45579.857630524908</v>
      </c>
      <c r="I1362" t="s">
        <v>34</v>
      </c>
      <c r="J1362" t="s">
        <v>2767</v>
      </c>
    </row>
    <row r="1363" spans="1:10" x14ac:dyDescent="0.3">
      <c r="A1363" t="s">
        <v>2768</v>
      </c>
      <c r="B1363" t="s">
        <v>21</v>
      </c>
      <c r="C1363" t="s">
        <v>30</v>
      </c>
      <c r="D1363">
        <v>3</v>
      </c>
      <c r="E1363">
        <v>58.23</v>
      </c>
      <c r="F1363" t="str">
        <f t="shared" si="42"/>
        <v>2025-02</v>
      </c>
      <c r="G1363">
        <f t="shared" si="43"/>
        <v>174.69</v>
      </c>
      <c r="H1363" s="2">
        <v>45711.857630524908</v>
      </c>
      <c r="I1363" t="s">
        <v>31</v>
      </c>
      <c r="J1363" t="s">
        <v>2769</v>
      </c>
    </row>
    <row r="1364" spans="1:10" x14ac:dyDescent="0.3">
      <c r="A1364" t="s">
        <v>2770</v>
      </c>
      <c r="B1364" t="s">
        <v>17</v>
      </c>
      <c r="C1364" t="s">
        <v>29</v>
      </c>
      <c r="D1364">
        <v>1</v>
      </c>
      <c r="E1364">
        <v>28.92</v>
      </c>
      <c r="F1364" t="str">
        <f t="shared" si="42"/>
        <v>2025-01</v>
      </c>
      <c r="G1364">
        <f t="shared" si="43"/>
        <v>28.92</v>
      </c>
      <c r="H1364" s="2">
        <v>45664.857630524908</v>
      </c>
      <c r="I1364" t="s">
        <v>31</v>
      </c>
      <c r="J1364" t="s">
        <v>2771</v>
      </c>
    </row>
    <row r="1365" spans="1:10" x14ac:dyDescent="0.3">
      <c r="A1365" t="s">
        <v>2772</v>
      </c>
      <c r="B1365" t="s">
        <v>18</v>
      </c>
      <c r="C1365" t="s">
        <v>29</v>
      </c>
      <c r="D1365">
        <v>2</v>
      </c>
      <c r="E1365">
        <v>48.16</v>
      </c>
      <c r="F1365" t="str">
        <f t="shared" si="42"/>
        <v>2024-04</v>
      </c>
      <c r="G1365">
        <f t="shared" si="43"/>
        <v>96.32</v>
      </c>
      <c r="H1365" s="2">
        <v>45392.857630524908</v>
      </c>
      <c r="I1365" t="s">
        <v>31</v>
      </c>
      <c r="J1365" t="s">
        <v>2773</v>
      </c>
    </row>
    <row r="1366" spans="1:10" x14ac:dyDescent="0.3">
      <c r="A1366" t="s">
        <v>2774</v>
      </c>
      <c r="B1366" t="s">
        <v>16</v>
      </c>
      <c r="C1366" t="s">
        <v>29</v>
      </c>
      <c r="D1366">
        <v>3</v>
      </c>
      <c r="E1366">
        <v>35.28</v>
      </c>
      <c r="F1366" t="str">
        <f t="shared" si="42"/>
        <v>2024-10</v>
      </c>
      <c r="G1366">
        <f t="shared" si="43"/>
        <v>105.84</v>
      </c>
      <c r="H1366" s="2">
        <v>45584.857630524908</v>
      </c>
      <c r="I1366" t="s">
        <v>32</v>
      </c>
      <c r="J1366" t="s">
        <v>2775</v>
      </c>
    </row>
    <row r="1367" spans="1:10" x14ac:dyDescent="0.3">
      <c r="A1367" t="s">
        <v>2776</v>
      </c>
      <c r="B1367" t="s">
        <v>27</v>
      </c>
      <c r="C1367" t="s">
        <v>28</v>
      </c>
      <c r="D1367">
        <v>5</v>
      </c>
      <c r="E1367">
        <v>43.31</v>
      </c>
      <c r="F1367" t="str">
        <f t="shared" si="42"/>
        <v>2024-09</v>
      </c>
      <c r="G1367">
        <f t="shared" si="43"/>
        <v>216.55</v>
      </c>
      <c r="H1367" s="2">
        <v>45551.857630524908</v>
      </c>
      <c r="I1367" t="s">
        <v>31</v>
      </c>
      <c r="J1367" t="s">
        <v>2777</v>
      </c>
    </row>
    <row r="1368" spans="1:10" x14ac:dyDescent="0.3">
      <c r="A1368" t="s">
        <v>2778</v>
      </c>
      <c r="B1368" t="s">
        <v>23</v>
      </c>
      <c r="C1368" t="s">
        <v>28</v>
      </c>
      <c r="D1368">
        <v>4</v>
      </c>
      <c r="E1368">
        <v>25.25</v>
      </c>
      <c r="F1368" t="str">
        <f t="shared" si="42"/>
        <v>2024-06</v>
      </c>
      <c r="G1368">
        <f t="shared" si="43"/>
        <v>101</v>
      </c>
      <c r="H1368" s="2">
        <v>45460.857630524908</v>
      </c>
      <c r="I1368" t="s">
        <v>35</v>
      </c>
      <c r="J1368" t="s">
        <v>2779</v>
      </c>
    </row>
    <row r="1369" spans="1:10" x14ac:dyDescent="0.3">
      <c r="A1369" t="s">
        <v>2780</v>
      </c>
      <c r="B1369" t="s">
        <v>20</v>
      </c>
      <c r="C1369" t="s">
        <v>30</v>
      </c>
      <c r="D1369">
        <v>2</v>
      </c>
      <c r="E1369">
        <v>35.99</v>
      </c>
      <c r="F1369" t="str">
        <f t="shared" si="42"/>
        <v>2024-05</v>
      </c>
      <c r="G1369">
        <f t="shared" si="43"/>
        <v>71.98</v>
      </c>
      <c r="H1369" s="2">
        <v>45416.857630524908</v>
      </c>
      <c r="I1369" t="s">
        <v>32</v>
      </c>
      <c r="J1369" t="s">
        <v>2781</v>
      </c>
    </row>
    <row r="1370" spans="1:10" x14ac:dyDescent="0.3">
      <c r="A1370" t="s">
        <v>2782</v>
      </c>
      <c r="B1370" t="s">
        <v>18</v>
      </c>
      <c r="C1370" t="s">
        <v>29</v>
      </c>
      <c r="D1370">
        <v>4</v>
      </c>
      <c r="E1370">
        <v>19.52</v>
      </c>
      <c r="F1370" t="str">
        <f t="shared" si="42"/>
        <v>2024-07</v>
      </c>
      <c r="G1370">
        <f t="shared" si="43"/>
        <v>78.08</v>
      </c>
      <c r="H1370" s="2">
        <v>45486.857630524908</v>
      </c>
      <c r="I1370" t="s">
        <v>31</v>
      </c>
      <c r="J1370" t="s">
        <v>2783</v>
      </c>
    </row>
    <row r="1371" spans="1:10" x14ac:dyDescent="0.3">
      <c r="A1371" t="s">
        <v>2784</v>
      </c>
      <c r="B1371" t="s">
        <v>22</v>
      </c>
      <c r="C1371" t="s">
        <v>30</v>
      </c>
      <c r="D1371">
        <v>3</v>
      </c>
      <c r="E1371">
        <v>47.68</v>
      </c>
      <c r="F1371" t="str">
        <f t="shared" si="42"/>
        <v>2024-11</v>
      </c>
      <c r="G1371">
        <f t="shared" si="43"/>
        <v>143.04</v>
      </c>
      <c r="H1371" s="2">
        <v>45615.857630524908</v>
      </c>
      <c r="I1371" t="s">
        <v>35</v>
      </c>
      <c r="J1371" t="s">
        <v>2785</v>
      </c>
    </row>
    <row r="1372" spans="1:10" x14ac:dyDescent="0.3">
      <c r="A1372" t="s">
        <v>2786</v>
      </c>
      <c r="B1372" t="s">
        <v>26</v>
      </c>
      <c r="C1372" t="s">
        <v>28</v>
      </c>
      <c r="D1372">
        <v>2</v>
      </c>
      <c r="E1372">
        <v>38.39</v>
      </c>
      <c r="F1372" t="str">
        <f t="shared" si="42"/>
        <v>2024-07</v>
      </c>
      <c r="G1372">
        <f t="shared" si="43"/>
        <v>76.78</v>
      </c>
      <c r="H1372" s="2">
        <v>45490.857630524908</v>
      </c>
      <c r="I1372" t="s">
        <v>31</v>
      </c>
      <c r="J1372" t="s">
        <v>2787</v>
      </c>
    </row>
    <row r="1373" spans="1:10" x14ac:dyDescent="0.3">
      <c r="A1373" t="s">
        <v>2788</v>
      </c>
      <c r="B1373" t="s">
        <v>20</v>
      </c>
      <c r="C1373" t="s">
        <v>30</v>
      </c>
      <c r="D1373">
        <v>3</v>
      </c>
      <c r="E1373">
        <v>49.75</v>
      </c>
      <c r="F1373" t="str">
        <f t="shared" si="42"/>
        <v>2025-01</v>
      </c>
      <c r="G1373">
        <f t="shared" si="43"/>
        <v>149.25</v>
      </c>
      <c r="H1373" s="2">
        <v>45665.857630524908</v>
      </c>
      <c r="I1373" t="s">
        <v>33</v>
      </c>
      <c r="J1373" t="s">
        <v>2789</v>
      </c>
    </row>
    <row r="1374" spans="1:10" x14ac:dyDescent="0.3">
      <c r="A1374" t="s">
        <v>2790</v>
      </c>
      <c r="B1374" t="s">
        <v>19</v>
      </c>
      <c r="C1374" t="s">
        <v>28</v>
      </c>
      <c r="D1374">
        <v>2</v>
      </c>
      <c r="E1374">
        <v>24.46</v>
      </c>
      <c r="F1374" t="str">
        <f t="shared" si="42"/>
        <v>2025-03</v>
      </c>
      <c r="G1374">
        <f t="shared" si="43"/>
        <v>48.92</v>
      </c>
      <c r="H1374" s="2">
        <v>45729.857630524908</v>
      </c>
      <c r="I1374" t="s">
        <v>34</v>
      </c>
      <c r="J1374" t="s">
        <v>2791</v>
      </c>
    </row>
    <row r="1375" spans="1:10" x14ac:dyDescent="0.3">
      <c r="A1375" t="s">
        <v>2792</v>
      </c>
      <c r="B1375" t="s">
        <v>18</v>
      </c>
      <c r="C1375" t="s">
        <v>29</v>
      </c>
      <c r="D1375">
        <v>4</v>
      </c>
      <c r="E1375">
        <v>15.8</v>
      </c>
      <c r="F1375" t="str">
        <f t="shared" si="42"/>
        <v>2024-08</v>
      </c>
      <c r="G1375">
        <f t="shared" si="43"/>
        <v>63.2</v>
      </c>
      <c r="H1375" s="2">
        <v>45509.857630524908</v>
      </c>
      <c r="I1375" t="s">
        <v>34</v>
      </c>
      <c r="J1375" t="s">
        <v>2793</v>
      </c>
    </row>
    <row r="1376" spans="1:10" x14ac:dyDescent="0.3">
      <c r="A1376" t="s">
        <v>2794</v>
      </c>
      <c r="B1376" t="s">
        <v>20</v>
      </c>
      <c r="C1376" t="s">
        <v>30</v>
      </c>
      <c r="D1376">
        <v>1</v>
      </c>
      <c r="E1376">
        <v>16.170000000000002</v>
      </c>
      <c r="F1376" t="str">
        <f t="shared" si="42"/>
        <v>2024-04</v>
      </c>
      <c r="G1376">
        <f t="shared" si="43"/>
        <v>16.170000000000002</v>
      </c>
      <c r="H1376" s="2">
        <v>45412.857630524908</v>
      </c>
      <c r="I1376" t="s">
        <v>32</v>
      </c>
      <c r="J1376" t="s">
        <v>2795</v>
      </c>
    </row>
    <row r="1377" spans="1:10" x14ac:dyDescent="0.3">
      <c r="A1377" t="s">
        <v>2796</v>
      </c>
      <c r="B1377" t="s">
        <v>16</v>
      </c>
      <c r="C1377" t="s">
        <v>29</v>
      </c>
      <c r="D1377">
        <v>5</v>
      </c>
      <c r="E1377">
        <v>48.45</v>
      </c>
      <c r="F1377" t="str">
        <f t="shared" si="42"/>
        <v>2024-04</v>
      </c>
      <c r="G1377">
        <f t="shared" si="43"/>
        <v>242.25</v>
      </c>
      <c r="H1377" s="2">
        <v>45401.857630524908</v>
      </c>
      <c r="I1377" t="s">
        <v>35</v>
      </c>
      <c r="J1377" t="s">
        <v>2797</v>
      </c>
    </row>
    <row r="1378" spans="1:10" x14ac:dyDescent="0.3">
      <c r="A1378" t="s">
        <v>2798</v>
      </c>
      <c r="B1378" t="s">
        <v>20</v>
      </c>
      <c r="C1378" t="s">
        <v>30</v>
      </c>
      <c r="D1378">
        <v>4</v>
      </c>
      <c r="E1378">
        <v>53.04</v>
      </c>
      <c r="F1378" t="str">
        <f t="shared" si="42"/>
        <v>2024-06</v>
      </c>
      <c r="G1378">
        <f t="shared" si="43"/>
        <v>212.16</v>
      </c>
      <c r="H1378" s="2">
        <v>45455.857630524908</v>
      </c>
      <c r="I1378" t="s">
        <v>34</v>
      </c>
      <c r="J1378" t="s">
        <v>2799</v>
      </c>
    </row>
    <row r="1379" spans="1:10" x14ac:dyDescent="0.3">
      <c r="A1379" t="s">
        <v>2800</v>
      </c>
      <c r="B1379" t="s">
        <v>16</v>
      </c>
      <c r="C1379" t="s">
        <v>29</v>
      </c>
      <c r="D1379">
        <v>3</v>
      </c>
      <c r="E1379">
        <v>29.17</v>
      </c>
      <c r="F1379" t="str">
        <f t="shared" si="42"/>
        <v>2025-01</v>
      </c>
      <c r="G1379">
        <f t="shared" si="43"/>
        <v>87.51</v>
      </c>
      <c r="H1379" s="2">
        <v>45669.857630524908</v>
      </c>
      <c r="I1379" t="s">
        <v>31</v>
      </c>
      <c r="J1379" t="s">
        <v>2801</v>
      </c>
    </row>
    <row r="1380" spans="1:10" x14ac:dyDescent="0.3">
      <c r="A1380" t="s">
        <v>2802</v>
      </c>
      <c r="B1380" t="s">
        <v>22</v>
      </c>
      <c r="C1380" t="s">
        <v>30</v>
      </c>
      <c r="D1380">
        <v>5</v>
      </c>
      <c r="E1380">
        <v>10.53</v>
      </c>
      <c r="F1380" t="str">
        <f t="shared" si="42"/>
        <v>2025-03</v>
      </c>
      <c r="G1380">
        <f t="shared" si="43"/>
        <v>52.65</v>
      </c>
      <c r="H1380" s="2">
        <v>45741.857630524908</v>
      </c>
      <c r="I1380" t="s">
        <v>33</v>
      </c>
      <c r="J1380" t="s">
        <v>2803</v>
      </c>
    </row>
    <row r="1381" spans="1:10" x14ac:dyDescent="0.3">
      <c r="A1381" t="s">
        <v>2804</v>
      </c>
      <c r="B1381" t="s">
        <v>25</v>
      </c>
      <c r="C1381" t="s">
        <v>30</v>
      </c>
      <c r="D1381">
        <v>4</v>
      </c>
      <c r="E1381">
        <v>56.71</v>
      </c>
      <c r="F1381" t="str">
        <f t="shared" si="42"/>
        <v>2024-07</v>
      </c>
      <c r="G1381">
        <f t="shared" si="43"/>
        <v>226.84</v>
      </c>
      <c r="H1381" s="2">
        <v>45491.857630524908</v>
      </c>
      <c r="I1381" t="s">
        <v>33</v>
      </c>
      <c r="J1381" t="s">
        <v>2805</v>
      </c>
    </row>
    <row r="1382" spans="1:10" x14ac:dyDescent="0.3">
      <c r="A1382" t="s">
        <v>2806</v>
      </c>
      <c r="B1382" t="s">
        <v>18</v>
      </c>
      <c r="C1382" t="s">
        <v>29</v>
      </c>
      <c r="D1382">
        <v>3</v>
      </c>
      <c r="E1382">
        <v>17.2</v>
      </c>
      <c r="F1382" t="str">
        <f t="shared" si="42"/>
        <v>2025-03</v>
      </c>
      <c r="G1382">
        <f t="shared" si="43"/>
        <v>51.599999999999994</v>
      </c>
      <c r="H1382" s="2">
        <v>45747.857630524908</v>
      </c>
      <c r="I1382" t="s">
        <v>35</v>
      </c>
      <c r="J1382" t="s">
        <v>2807</v>
      </c>
    </row>
    <row r="1383" spans="1:10" x14ac:dyDescent="0.3">
      <c r="A1383" t="s">
        <v>2808</v>
      </c>
      <c r="B1383" t="s">
        <v>19</v>
      </c>
      <c r="C1383" t="s">
        <v>28</v>
      </c>
      <c r="D1383">
        <v>2</v>
      </c>
      <c r="E1383">
        <v>13.66</v>
      </c>
      <c r="F1383" t="str">
        <f t="shared" si="42"/>
        <v>2025-01</v>
      </c>
      <c r="G1383">
        <f t="shared" si="43"/>
        <v>27.32</v>
      </c>
      <c r="H1383" s="2">
        <v>45680.857630524908</v>
      </c>
      <c r="I1383" t="s">
        <v>34</v>
      </c>
      <c r="J1383" t="s">
        <v>2809</v>
      </c>
    </row>
    <row r="1384" spans="1:10" x14ac:dyDescent="0.3">
      <c r="A1384" t="s">
        <v>2810</v>
      </c>
      <c r="B1384" t="s">
        <v>18</v>
      </c>
      <c r="C1384" t="s">
        <v>29</v>
      </c>
      <c r="D1384">
        <v>2</v>
      </c>
      <c r="E1384">
        <v>58.77</v>
      </c>
      <c r="F1384" t="str">
        <f t="shared" si="42"/>
        <v>2025-01</v>
      </c>
      <c r="G1384">
        <f t="shared" si="43"/>
        <v>117.54</v>
      </c>
      <c r="H1384" s="2">
        <v>45687.857630524908</v>
      </c>
      <c r="I1384" t="s">
        <v>32</v>
      </c>
      <c r="J1384" t="s">
        <v>2811</v>
      </c>
    </row>
    <row r="1385" spans="1:10" x14ac:dyDescent="0.3">
      <c r="A1385" t="s">
        <v>2812</v>
      </c>
      <c r="B1385" t="s">
        <v>21</v>
      </c>
      <c r="C1385" t="s">
        <v>30</v>
      </c>
      <c r="D1385">
        <v>3</v>
      </c>
      <c r="E1385">
        <v>14.61</v>
      </c>
      <c r="F1385" t="str">
        <f t="shared" si="42"/>
        <v>2024-12</v>
      </c>
      <c r="G1385">
        <f t="shared" si="43"/>
        <v>43.83</v>
      </c>
      <c r="H1385" s="2">
        <v>45638.857630524908</v>
      </c>
      <c r="I1385" t="s">
        <v>34</v>
      </c>
      <c r="J1385" t="s">
        <v>2813</v>
      </c>
    </row>
    <row r="1386" spans="1:10" x14ac:dyDescent="0.3">
      <c r="A1386" t="s">
        <v>2814</v>
      </c>
      <c r="B1386" t="s">
        <v>22</v>
      </c>
      <c r="C1386" t="s">
        <v>30</v>
      </c>
      <c r="D1386">
        <v>3</v>
      </c>
      <c r="E1386">
        <v>36.619999999999997</v>
      </c>
      <c r="F1386" t="str">
        <f t="shared" si="42"/>
        <v>2025-02</v>
      </c>
      <c r="G1386">
        <f t="shared" si="43"/>
        <v>109.85999999999999</v>
      </c>
      <c r="H1386" s="2">
        <v>45695.857630524908</v>
      </c>
      <c r="I1386" t="s">
        <v>34</v>
      </c>
      <c r="J1386" t="s">
        <v>2815</v>
      </c>
    </row>
    <row r="1387" spans="1:10" x14ac:dyDescent="0.3">
      <c r="A1387" t="s">
        <v>2816</v>
      </c>
      <c r="B1387" t="s">
        <v>21</v>
      </c>
      <c r="C1387" t="s">
        <v>30</v>
      </c>
      <c r="D1387">
        <v>5</v>
      </c>
      <c r="E1387">
        <v>14.89</v>
      </c>
      <c r="F1387" t="str">
        <f t="shared" si="42"/>
        <v>2024-11</v>
      </c>
      <c r="G1387">
        <f t="shared" si="43"/>
        <v>74.45</v>
      </c>
      <c r="H1387" s="2">
        <v>45611.857630524908</v>
      </c>
      <c r="I1387" t="s">
        <v>31</v>
      </c>
      <c r="J1387" t="s">
        <v>2817</v>
      </c>
    </row>
    <row r="1388" spans="1:10" x14ac:dyDescent="0.3">
      <c r="A1388" t="s">
        <v>2818</v>
      </c>
      <c r="B1388" t="s">
        <v>25</v>
      </c>
      <c r="C1388" t="s">
        <v>30</v>
      </c>
      <c r="D1388">
        <v>2</v>
      </c>
      <c r="E1388">
        <v>25.24</v>
      </c>
      <c r="F1388" t="str">
        <f t="shared" si="42"/>
        <v>2024-09</v>
      </c>
      <c r="G1388">
        <f t="shared" si="43"/>
        <v>50.48</v>
      </c>
      <c r="H1388" s="2">
        <v>45562.857630524908</v>
      </c>
      <c r="I1388" t="s">
        <v>32</v>
      </c>
      <c r="J1388" t="s">
        <v>2819</v>
      </c>
    </row>
    <row r="1389" spans="1:10" x14ac:dyDescent="0.3">
      <c r="A1389" t="s">
        <v>2820</v>
      </c>
      <c r="B1389" t="s">
        <v>24</v>
      </c>
      <c r="C1389" t="s">
        <v>28</v>
      </c>
      <c r="D1389">
        <v>3</v>
      </c>
      <c r="E1389">
        <v>47.57</v>
      </c>
      <c r="F1389" t="str">
        <f t="shared" si="42"/>
        <v>2024-10</v>
      </c>
      <c r="G1389">
        <f t="shared" si="43"/>
        <v>142.71</v>
      </c>
      <c r="H1389" s="2">
        <v>45596.857630524908</v>
      </c>
      <c r="I1389" t="s">
        <v>34</v>
      </c>
      <c r="J1389" t="s">
        <v>2821</v>
      </c>
    </row>
    <row r="1390" spans="1:10" x14ac:dyDescent="0.3">
      <c r="A1390" t="s">
        <v>2822</v>
      </c>
      <c r="B1390" t="s">
        <v>27</v>
      </c>
      <c r="C1390" t="s">
        <v>28</v>
      </c>
      <c r="D1390">
        <v>3</v>
      </c>
      <c r="E1390">
        <v>57.88</v>
      </c>
      <c r="F1390" t="str">
        <f t="shared" si="42"/>
        <v>2024-12</v>
      </c>
      <c r="G1390">
        <f t="shared" si="43"/>
        <v>173.64000000000001</v>
      </c>
      <c r="H1390" s="2">
        <v>45650.857630524908</v>
      </c>
      <c r="I1390" t="s">
        <v>32</v>
      </c>
      <c r="J1390" t="s">
        <v>2823</v>
      </c>
    </row>
    <row r="1391" spans="1:10" x14ac:dyDescent="0.3">
      <c r="A1391" t="s">
        <v>2824</v>
      </c>
      <c r="B1391" t="s">
        <v>17</v>
      </c>
      <c r="C1391" t="s">
        <v>29</v>
      </c>
      <c r="D1391">
        <v>2</v>
      </c>
      <c r="E1391">
        <v>11.75</v>
      </c>
      <c r="F1391" t="str">
        <f t="shared" si="42"/>
        <v>2025-03</v>
      </c>
      <c r="G1391">
        <f t="shared" si="43"/>
        <v>23.5</v>
      </c>
      <c r="H1391" s="2">
        <v>45747.857630524908</v>
      </c>
      <c r="I1391" t="s">
        <v>31</v>
      </c>
      <c r="J1391" t="s">
        <v>2825</v>
      </c>
    </row>
    <row r="1392" spans="1:10" x14ac:dyDescent="0.3">
      <c r="A1392" t="s">
        <v>2826</v>
      </c>
      <c r="B1392" t="s">
        <v>26</v>
      </c>
      <c r="C1392" t="s">
        <v>28</v>
      </c>
      <c r="D1392">
        <v>2</v>
      </c>
      <c r="E1392">
        <v>53</v>
      </c>
      <c r="F1392" t="str">
        <f t="shared" si="42"/>
        <v>2024-09</v>
      </c>
      <c r="G1392">
        <f t="shared" si="43"/>
        <v>106</v>
      </c>
      <c r="H1392" s="2">
        <v>45558.857630524908</v>
      </c>
      <c r="I1392" t="s">
        <v>35</v>
      </c>
      <c r="J1392" t="s">
        <v>2827</v>
      </c>
    </row>
    <row r="1393" spans="1:10" x14ac:dyDescent="0.3">
      <c r="A1393" t="s">
        <v>2828</v>
      </c>
      <c r="B1393" t="s">
        <v>20</v>
      </c>
      <c r="C1393" t="s">
        <v>30</v>
      </c>
      <c r="D1393">
        <v>1</v>
      </c>
      <c r="E1393">
        <v>38.24</v>
      </c>
      <c r="F1393" t="str">
        <f t="shared" si="42"/>
        <v>2025-01</v>
      </c>
      <c r="G1393">
        <f t="shared" si="43"/>
        <v>38.24</v>
      </c>
      <c r="H1393" s="2">
        <v>45669.857630524908</v>
      </c>
      <c r="I1393" t="s">
        <v>33</v>
      </c>
      <c r="J1393" t="s">
        <v>2829</v>
      </c>
    </row>
    <row r="1394" spans="1:10" x14ac:dyDescent="0.3">
      <c r="A1394" t="s">
        <v>2830</v>
      </c>
      <c r="B1394" t="s">
        <v>18</v>
      </c>
      <c r="C1394" t="s">
        <v>29</v>
      </c>
      <c r="D1394">
        <v>2</v>
      </c>
      <c r="E1394">
        <v>15.97</v>
      </c>
      <c r="F1394" t="str">
        <f t="shared" si="42"/>
        <v>2024-12</v>
      </c>
      <c r="G1394">
        <f t="shared" si="43"/>
        <v>31.94</v>
      </c>
      <c r="H1394" s="2">
        <v>45632.857630524908</v>
      </c>
      <c r="I1394" t="s">
        <v>34</v>
      </c>
      <c r="J1394" t="s">
        <v>2831</v>
      </c>
    </row>
    <row r="1395" spans="1:10" x14ac:dyDescent="0.3">
      <c r="A1395" t="s">
        <v>2832</v>
      </c>
      <c r="B1395" t="s">
        <v>18</v>
      </c>
      <c r="C1395" t="s">
        <v>29</v>
      </c>
      <c r="D1395">
        <v>2</v>
      </c>
      <c r="E1395">
        <v>55.86</v>
      </c>
      <c r="F1395" t="str">
        <f t="shared" si="42"/>
        <v>2024-12</v>
      </c>
      <c r="G1395">
        <f t="shared" si="43"/>
        <v>111.72</v>
      </c>
      <c r="H1395" s="2">
        <v>45643.857630524908</v>
      </c>
      <c r="I1395" t="s">
        <v>35</v>
      </c>
      <c r="J1395" t="s">
        <v>2833</v>
      </c>
    </row>
    <row r="1396" spans="1:10" x14ac:dyDescent="0.3">
      <c r="A1396" t="s">
        <v>2834</v>
      </c>
      <c r="B1396" t="s">
        <v>16</v>
      </c>
      <c r="C1396" t="s">
        <v>29</v>
      </c>
      <c r="D1396">
        <v>5</v>
      </c>
      <c r="E1396">
        <v>14.45</v>
      </c>
      <c r="F1396" t="str">
        <f t="shared" si="42"/>
        <v>2025-03</v>
      </c>
      <c r="G1396">
        <f t="shared" si="43"/>
        <v>72.25</v>
      </c>
      <c r="H1396" s="2">
        <v>45738.857630524908</v>
      </c>
      <c r="I1396" t="s">
        <v>32</v>
      </c>
      <c r="J1396" t="s">
        <v>2835</v>
      </c>
    </row>
    <row r="1397" spans="1:10" x14ac:dyDescent="0.3">
      <c r="A1397" t="s">
        <v>2836</v>
      </c>
      <c r="B1397" t="s">
        <v>19</v>
      </c>
      <c r="C1397" t="s">
        <v>28</v>
      </c>
      <c r="D1397">
        <v>2</v>
      </c>
      <c r="E1397">
        <v>20.8</v>
      </c>
      <c r="F1397" t="str">
        <f t="shared" si="42"/>
        <v>2024-05</v>
      </c>
      <c r="G1397">
        <f t="shared" si="43"/>
        <v>41.6</v>
      </c>
      <c r="H1397" s="2">
        <v>45436.857630524908</v>
      </c>
      <c r="I1397" t="s">
        <v>33</v>
      </c>
      <c r="J1397" t="s">
        <v>2837</v>
      </c>
    </row>
    <row r="1398" spans="1:10" x14ac:dyDescent="0.3">
      <c r="A1398" t="s">
        <v>2838</v>
      </c>
      <c r="B1398" t="s">
        <v>25</v>
      </c>
      <c r="C1398" t="s">
        <v>30</v>
      </c>
      <c r="D1398">
        <v>5</v>
      </c>
      <c r="E1398">
        <v>55.52</v>
      </c>
      <c r="F1398" t="str">
        <f t="shared" si="42"/>
        <v>2024-04</v>
      </c>
      <c r="G1398">
        <f t="shared" si="43"/>
        <v>277.60000000000002</v>
      </c>
      <c r="H1398" s="2">
        <v>45387.857630524908</v>
      </c>
      <c r="I1398" t="s">
        <v>34</v>
      </c>
      <c r="J1398" t="s">
        <v>2839</v>
      </c>
    </row>
    <row r="1399" spans="1:10" x14ac:dyDescent="0.3">
      <c r="A1399" t="s">
        <v>2840</v>
      </c>
      <c r="B1399" t="s">
        <v>27</v>
      </c>
      <c r="C1399" t="s">
        <v>28</v>
      </c>
      <c r="D1399">
        <v>1</v>
      </c>
      <c r="E1399">
        <v>21.48</v>
      </c>
      <c r="F1399" t="str">
        <f t="shared" si="42"/>
        <v>2024-07</v>
      </c>
      <c r="G1399">
        <f t="shared" si="43"/>
        <v>21.48</v>
      </c>
      <c r="H1399" s="2">
        <v>45500.857630524908</v>
      </c>
      <c r="I1399" t="s">
        <v>33</v>
      </c>
      <c r="J1399" t="s">
        <v>2841</v>
      </c>
    </row>
    <row r="1400" spans="1:10" x14ac:dyDescent="0.3">
      <c r="A1400" t="s">
        <v>2842</v>
      </c>
      <c r="B1400" t="s">
        <v>27</v>
      </c>
      <c r="C1400" t="s">
        <v>28</v>
      </c>
      <c r="D1400">
        <v>4</v>
      </c>
      <c r="E1400">
        <v>32.159999999999997</v>
      </c>
      <c r="F1400" t="str">
        <f t="shared" si="42"/>
        <v>2024-11</v>
      </c>
      <c r="G1400">
        <f t="shared" si="43"/>
        <v>128.63999999999999</v>
      </c>
      <c r="H1400" s="2">
        <v>45607.857630524908</v>
      </c>
      <c r="I1400" t="s">
        <v>31</v>
      </c>
      <c r="J1400" t="s">
        <v>2843</v>
      </c>
    </row>
    <row r="1401" spans="1:10" x14ac:dyDescent="0.3">
      <c r="A1401" t="s">
        <v>2844</v>
      </c>
      <c r="B1401" t="s">
        <v>19</v>
      </c>
      <c r="C1401" t="s">
        <v>28</v>
      </c>
      <c r="D1401">
        <v>2</v>
      </c>
      <c r="E1401">
        <v>57.21</v>
      </c>
      <c r="F1401" t="str">
        <f t="shared" si="42"/>
        <v>2024-08</v>
      </c>
      <c r="G1401">
        <f t="shared" si="43"/>
        <v>114.42</v>
      </c>
      <c r="H1401" s="2">
        <v>45512.857630524908</v>
      </c>
      <c r="I1401" t="s">
        <v>31</v>
      </c>
      <c r="J1401" t="s">
        <v>2845</v>
      </c>
    </row>
    <row r="1402" spans="1:10" x14ac:dyDescent="0.3">
      <c r="A1402" t="s">
        <v>2846</v>
      </c>
      <c r="B1402" t="s">
        <v>16</v>
      </c>
      <c r="C1402" t="s">
        <v>29</v>
      </c>
      <c r="D1402">
        <v>1</v>
      </c>
      <c r="E1402">
        <v>26.62</v>
      </c>
      <c r="F1402" t="str">
        <f t="shared" si="42"/>
        <v>2024-12</v>
      </c>
      <c r="G1402">
        <f t="shared" si="43"/>
        <v>26.62</v>
      </c>
      <c r="H1402" s="2">
        <v>45628.857630524908</v>
      </c>
      <c r="I1402" t="s">
        <v>33</v>
      </c>
      <c r="J1402" t="s">
        <v>2847</v>
      </c>
    </row>
    <row r="1403" spans="1:10" x14ac:dyDescent="0.3">
      <c r="A1403" t="s">
        <v>2848</v>
      </c>
      <c r="B1403" t="s">
        <v>18</v>
      </c>
      <c r="C1403" t="s">
        <v>29</v>
      </c>
      <c r="D1403">
        <v>2</v>
      </c>
      <c r="E1403">
        <v>23.32</v>
      </c>
      <c r="F1403" t="str">
        <f t="shared" si="42"/>
        <v>2024-07</v>
      </c>
      <c r="G1403">
        <f t="shared" si="43"/>
        <v>46.64</v>
      </c>
      <c r="H1403" s="2">
        <v>45475.857630524908</v>
      </c>
      <c r="I1403" t="s">
        <v>33</v>
      </c>
      <c r="J1403" t="s">
        <v>2849</v>
      </c>
    </row>
    <row r="1404" spans="1:10" x14ac:dyDescent="0.3">
      <c r="A1404" t="s">
        <v>2850</v>
      </c>
      <c r="B1404" t="s">
        <v>23</v>
      </c>
      <c r="C1404" t="s">
        <v>28</v>
      </c>
      <c r="D1404">
        <v>5</v>
      </c>
      <c r="E1404">
        <v>27.28</v>
      </c>
      <c r="F1404" t="str">
        <f t="shared" si="42"/>
        <v>2024-10</v>
      </c>
      <c r="G1404">
        <f t="shared" si="43"/>
        <v>136.4</v>
      </c>
      <c r="H1404" s="2">
        <v>45574.857630524908</v>
      </c>
      <c r="I1404" t="s">
        <v>33</v>
      </c>
      <c r="J1404" t="s">
        <v>2851</v>
      </c>
    </row>
    <row r="1405" spans="1:10" x14ac:dyDescent="0.3">
      <c r="A1405" t="s">
        <v>2852</v>
      </c>
      <c r="B1405" t="s">
        <v>17</v>
      </c>
      <c r="C1405" t="s">
        <v>29</v>
      </c>
      <c r="D1405">
        <v>4</v>
      </c>
      <c r="E1405">
        <v>58.64</v>
      </c>
      <c r="F1405" t="str">
        <f t="shared" si="42"/>
        <v>2024-09</v>
      </c>
      <c r="G1405">
        <f t="shared" si="43"/>
        <v>234.56</v>
      </c>
      <c r="H1405" s="2">
        <v>45547.857630524908</v>
      </c>
      <c r="I1405" t="s">
        <v>31</v>
      </c>
      <c r="J1405" t="s">
        <v>2853</v>
      </c>
    </row>
    <row r="1406" spans="1:10" x14ac:dyDescent="0.3">
      <c r="A1406" t="s">
        <v>2854</v>
      </c>
      <c r="B1406" t="s">
        <v>19</v>
      </c>
      <c r="C1406" t="s">
        <v>28</v>
      </c>
      <c r="D1406">
        <v>3</v>
      </c>
      <c r="E1406">
        <v>39.630000000000003</v>
      </c>
      <c r="F1406" t="str">
        <f t="shared" si="42"/>
        <v>2024-10</v>
      </c>
      <c r="G1406">
        <f t="shared" si="43"/>
        <v>118.89000000000001</v>
      </c>
      <c r="H1406" s="2">
        <v>45569.857630524908</v>
      </c>
      <c r="I1406" t="s">
        <v>35</v>
      </c>
      <c r="J1406" t="s">
        <v>2855</v>
      </c>
    </row>
    <row r="1407" spans="1:10" x14ac:dyDescent="0.3">
      <c r="A1407" t="s">
        <v>2856</v>
      </c>
      <c r="B1407" t="s">
        <v>17</v>
      </c>
      <c r="C1407" t="s">
        <v>29</v>
      </c>
      <c r="D1407">
        <v>4</v>
      </c>
      <c r="E1407">
        <v>50.73</v>
      </c>
      <c r="F1407" t="str">
        <f t="shared" si="42"/>
        <v>2024-08</v>
      </c>
      <c r="G1407">
        <f t="shared" si="43"/>
        <v>202.92</v>
      </c>
      <c r="H1407" s="2">
        <v>45534.857630524908</v>
      </c>
      <c r="I1407" t="s">
        <v>31</v>
      </c>
      <c r="J1407" t="s">
        <v>2857</v>
      </c>
    </row>
    <row r="1408" spans="1:10" x14ac:dyDescent="0.3">
      <c r="A1408" t="s">
        <v>2858</v>
      </c>
      <c r="B1408" t="s">
        <v>24</v>
      </c>
      <c r="C1408" t="s">
        <v>28</v>
      </c>
      <c r="D1408">
        <v>2</v>
      </c>
      <c r="E1408">
        <v>41.8</v>
      </c>
      <c r="F1408" t="str">
        <f t="shared" si="42"/>
        <v>2024-12</v>
      </c>
      <c r="G1408">
        <f t="shared" si="43"/>
        <v>83.6</v>
      </c>
      <c r="H1408" s="2">
        <v>45650.857630524908</v>
      </c>
      <c r="I1408" t="s">
        <v>34</v>
      </c>
      <c r="J1408" t="s">
        <v>2859</v>
      </c>
    </row>
    <row r="1409" spans="1:10" x14ac:dyDescent="0.3">
      <c r="A1409" t="s">
        <v>2860</v>
      </c>
      <c r="B1409" t="s">
        <v>19</v>
      </c>
      <c r="C1409" t="s">
        <v>28</v>
      </c>
      <c r="D1409">
        <v>5</v>
      </c>
      <c r="E1409">
        <v>10.02</v>
      </c>
      <c r="F1409" t="str">
        <f t="shared" si="42"/>
        <v>2025-01</v>
      </c>
      <c r="G1409">
        <f t="shared" si="43"/>
        <v>50.099999999999994</v>
      </c>
      <c r="H1409" s="2">
        <v>45667.857630524908</v>
      </c>
      <c r="I1409" t="s">
        <v>32</v>
      </c>
      <c r="J1409" t="s">
        <v>2861</v>
      </c>
    </row>
    <row r="1410" spans="1:10" x14ac:dyDescent="0.3">
      <c r="A1410" t="s">
        <v>2862</v>
      </c>
      <c r="B1410" t="s">
        <v>16</v>
      </c>
      <c r="C1410" t="s">
        <v>29</v>
      </c>
      <c r="D1410">
        <v>2</v>
      </c>
      <c r="E1410">
        <v>31.74</v>
      </c>
      <c r="F1410" t="str">
        <f t="shared" si="42"/>
        <v>2025-03</v>
      </c>
      <c r="G1410">
        <f t="shared" si="43"/>
        <v>63.48</v>
      </c>
      <c r="H1410" s="2">
        <v>45743.857630524908</v>
      </c>
      <c r="I1410" t="s">
        <v>33</v>
      </c>
      <c r="J1410" t="s">
        <v>2863</v>
      </c>
    </row>
    <row r="1411" spans="1:10" x14ac:dyDescent="0.3">
      <c r="A1411" t="s">
        <v>2864</v>
      </c>
      <c r="B1411" t="s">
        <v>20</v>
      </c>
      <c r="C1411" t="s">
        <v>30</v>
      </c>
      <c r="D1411">
        <v>3</v>
      </c>
      <c r="E1411">
        <v>58.47</v>
      </c>
      <c r="F1411" t="str">
        <f t="shared" ref="F1411:F1474" si="44">TEXT(H1411, "yyyy-mm")</f>
        <v>2024-11</v>
      </c>
      <c r="G1411">
        <f t="shared" ref="G1411:G1474" si="45">D1411*E1411</f>
        <v>175.41</v>
      </c>
      <c r="H1411" s="2">
        <v>45616.857630524908</v>
      </c>
      <c r="I1411" t="s">
        <v>33</v>
      </c>
      <c r="J1411" t="s">
        <v>2865</v>
      </c>
    </row>
    <row r="1412" spans="1:10" x14ac:dyDescent="0.3">
      <c r="A1412" t="s">
        <v>2866</v>
      </c>
      <c r="B1412" t="s">
        <v>24</v>
      </c>
      <c r="C1412" t="s">
        <v>28</v>
      </c>
      <c r="D1412">
        <v>5</v>
      </c>
      <c r="E1412">
        <v>38.5</v>
      </c>
      <c r="F1412" t="str">
        <f t="shared" si="44"/>
        <v>2024-04</v>
      </c>
      <c r="G1412">
        <f t="shared" si="45"/>
        <v>192.5</v>
      </c>
      <c r="H1412" s="2">
        <v>45389.857630524908</v>
      </c>
      <c r="I1412" t="s">
        <v>33</v>
      </c>
      <c r="J1412" t="s">
        <v>2867</v>
      </c>
    </row>
    <row r="1413" spans="1:10" x14ac:dyDescent="0.3">
      <c r="A1413" t="s">
        <v>2868</v>
      </c>
      <c r="B1413" t="s">
        <v>20</v>
      </c>
      <c r="C1413" t="s">
        <v>30</v>
      </c>
      <c r="D1413">
        <v>4</v>
      </c>
      <c r="E1413">
        <v>12.95</v>
      </c>
      <c r="F1413" t="str">
        <f t="shared" si="44"/>
        <v>2024-08</v>
      </c>
      <c r="G1413">
        <f t="shared" si="45"/>
        <v>51.8</v>
      </c>
      <c r="H1413" s="2">
        <v>45526.857630524908</v>
      </c>
      <c r="I1413" t="s">
        <v>34</v>
      </c>
      <c r="J1413" t="s">
        <v>2869</v>
      </c>
    </row>
    <row r="1414" spans="1:10" x14ac:dyDescent="0.3">
      <c r="A1414" t="s">
        <v>2870</v>
      </c>
      <c r="B1414" t="s">
        <v>25</v>
      </c>
      <c r="C1414" t="s">
        <v>30</v>
      </c>
      <c r="D1414">
        <v>3</v>
      </c>
      <c r="E1414">
        <v>41.96</v>
      </c>
      <c r="F1414" t="str">
        <f t="shared" si="44"/>
        <v>2024-10</v>
      </c>
      <c r="G1414">
        <f t="shared" si="45"/>
        <v>125.88</v>
      </c>
      <c r="H1414" s="2">
        <v>45587.857630524908</v>
      </c>
      <c r="I1414" t="s">
        <v>33</v>
      </c>
      <c r="J1414" t="s">
        <v>2871</v>
      </c>
    </row>
    <row r="1415" spans="1:10" x14ac:dyDescent="0.3">
      <c r="A1415" t="s">
        <v>2872</v>
      </c>
      <c r="B1415" t="s">
        <v>22</v>
      </c>
      <c r="C1415" t="s">
        <v>30</v>
      </c>
      <c r="D1415">
        <v>2</v>
      </c>
      <c r="E1415">
        <v>10.38</v>
      </c>
      <c r="F1415" t="str">
        <f t="shared" si="44"/>
        <v>2025-02</v>
      </c>
      <c r="G1415">
        <f t="shared" si="45"/>
        <v>20.76</v>
      </c>
      <c r="H1415" s="2">
        <v>45693.857630524908</v>
      </c>
      <c r="I1415" t="s">
        <v>31</v>
      </c>
      <c r="J1415" t="s">
        <v>2873</v>
      </c>
    </row>
    <row r="1416" spans="1:10" x14ac:dyDescent="0.3">
      <c r="A1416" t="s">
        <v>2874</v>
      </c>
      <c r="B1416" t="s">
        <v>17</v>
      </c>
      <c r="C1416" t="s">
        <v>29</v>
      </c>
      <c r="D1416">
        <v>2</v>
      </c>
      <c r="E1416">
        <v>53.18</v>
      </c>
      <c r="F1416" t="str">
        <f t="shared" si="44"/>
        <v>2025-02</v>
      </c>
      <c r="G1416">
        <f t="shared" si="45"/>
        <v>106.36</v>
      </c>
      <c r="H1416" s="2">
        <v>45710.857630524908</v>
      </c>
      <c r="I1416" t="s">
        <v>32</v>
      </c>
      <c r="J1416" t="s">
        <v>2875</v>
      </c>
    </row>
    <row r="1417" spans="1:10" x14ac:dyDescent="0.3">
      <c r="A1417" t="s">
        <v>2876</v>
      </c>
      <c r="B1417" t="s">
        <v>23</v>
      </c>
      <c r="C1417" t="s">
        <v>28</v>
      </c>
      <c r="D1417">
        <v>2</v>
      </c>
      <c r="E1417">
        <v>14.66</v>
      </c>
      <c r="F1417" t="str">
        <f t="shared" si="44"/>
        <v>2025-03</v>
      </c>
      <c r="G1417">
        <f t="shared" si="45"/>
        <v>29.32</v>
      </c>
      <c r="H1417" s="2">
        <v>45745.857630524908</v>
      </c>
      <c r="I1417" t="s">
        <v>34</v>
      </c>
      <c r="J1417" t="s">
        <v>2877</v>
      </c>
    </row>
    <row r="1418" spans="1:10" x14ac:dyDescent="0.3">
      <c r="A1418" t="s">
        <v>2878</v>
      </c>
      <c r="B1418" t="s">
        <v>16</v>
      </c>
      <c r="C1418" t="s">
        <v>29</v>
      </c>
      <c r="D1418">
        <v>3</v>
      </c>
      <c r="E1418">
        <v>45.05</v>
      </c>
      <c r="F1418" t="str">
        <f t="shared" si="44"/>
        <v>2025-01</v>
      </c>
      <c r="G1418">
        <f t="shared" si="45"/>
        <v>135.14999999999998</v>
      </c>
      <c r="H1418" s="2">
        <v>45684.857630524908</v>
      </c>
      <c r="I1418" t="s">
        <v>31</v>
      </c>
      <c r="J1418" t="s">
        <v>2879</v>
      </c>
    </row>
    <row r="1419" spans="1:10" x14ac:dyDescent="0.3">
      <c r="A1419" t="s">
        <v>2880</v>
      </c>
      <c r="B1419" t="s">
        <v>20</v>
      </c>
      <c r="C1419" t="s">
        <v>30</v>
      </c>
      <c r="D1419">
        <v>2</v>
      </c>
      <c r="E1419">
        <v>20.53</v>
      </c>
      <c r="F1419" t="str">
        <f t="shared" si="44"/>
        <v>2025-01</v>
      </c>
      <c r="G1419">
        <f t="shared" si="45"/>
        <v>41.06</v>
      </c>
      <c r="H1419" s="2">
        <v>45666.857630524908</v>
      </c>
      <c r="I1419" t="s">
        <v>33</v>
      </c>
      <c r="J1419" t="s">
        <v>2881</v>
      </c>
    </row>
    <row r="1420" spans="1:10" x14ac:dyDescent="0.3">
      <c r="A1420" t="s">
        <v>2882</v>
      </c>
      <c r="B1420" t="s">
        <v>18</v>
      </c>
      <c r="C1420" t="s">
        <v>29</v>
      </c>
      <c r="D1420">
        <v>1</v>
      </c>
      <c r="E1420">
        <v>26.75</v>
      </c>
      <c r="F1420" t="str">
        <f t="shared" si="44"/>
        <v>2025-03</v>
      </c>
      <c r="G1420">
        <f t="shared" si="45"/>
        <v>26.75</v>
      </c>
      <c r="H1420" s="2">
        <v>45739.857630524908</v>
      </c>
      <c r="I1420" t="s">
        <v>35</v>
      </c>
      <c r="J1420" t="s">
        <v>2883</v>
      </c>
    </row>
    <row r="1421" spans="1:10" x14ac:dyDescent="0.3">
      <c r="A1421" t="s">
        <v>2884</v>
      </c>
      <c r="B1421" t="s">
        <v>23</v>
      </c>
      <c r="C1421" t="s">
        <v>28</v>
      </c>
      <c r="D1421">
        <v>2</v>
      </c>
      <c r="E1421">
        <v>39.78</v>
      </c>
      <c r="F1421" t="str">
        <f t="shared" si="44"/>
        <v>2025-04</v>
      </c>
      <c r="G1421">
        <f t="shared" si="45"/>
        <v>79.56</v>
      </c>
      <c r="H1421" s="2">
        <v>45748.857630524908</v>
      </c>
      <c r="I1421" t="s">
        <v>33</v>
      </c>
      <c r="J1421" t="s">
        <v>2885</v>
      </c>
    </row>
    <row r="1422" spans="1:10" x14ac:dyDescent="0.3">
      <c r="A1422" t="s">
        <v>2886</v>
      </c>
      <c r="B1422" t="s">
        <v>16</v>
      </c>
      <c r="C1422" t="s">
        <v>29</v>
      </c>
      <c r="D1422">
        <v>1</v>
      </c>
      <c r="E1422">
        <v>40.1</v>
      </c>
      <c r="F1422" t="str">
        <f t="shared" si="44"/>
        <v>2024-11</v>
      </c>
      <c r="G1422">
        <f t="shared" si="45"/>
        <v>40.1</v>
      </c>
      <c r="H1422" s="2">
        <v>45601.857630524908</v>
      </c>
      <c r="I1422" t="s">
        <v>34</v>
      </c>
      <c r="J1422" t="s">
        <v>2887</v>
      </c>
    </row>
    <row r="1423" spans="1:10" x14ac:dyDescent="0.3">
      <c r="A1423" t="s">
        <v>2888</v>
      </c>
      <c r="B1423" t="s">
        <v>19</v>
      </c>
      <c r="C1423" t="s">
        <v>28</v>
      </c>
      <c r="D1423">
        <v>2</v>
      </c>
      <c r="E1423">
        <v>19.8</v>
      </c>
      <c r="F1423" t="str">
        <f t="shared" si="44"/>
        <v>2024-08</v>
      </c>
      <c r="G1423">
        <f t="shared" si="45"/>
        <v>39.6</v>
      </c>
      <c r="H1423" s="2">
        <v>45523.857630524908</v>
      </c>
      <c r="I1423" t="s">
        <v>32</v>
      </c>
      <c r="J1423" t="s">
        <v>2889</v>
      </c>
    </row>
    <row r="1424" spans="1:10" x14ac:dyDescent="0.3">
      <c r="A1424" t="s">
        <v>2890</v>
      </c>
      <c r="B1424" t="s">
        <v>19</v>
      </c>
      <c r="C1424" t="s">
        <v>28</v>
      </c>
      <c r="D1424">
        <v>5</v>
      </c>
      <c r="E1424">
        <v>52.17</v>
      </c>
      <c r="F1424" t="str">
        <f t="shared" si="44"/>
        <v>2024-05</v>
      </c>
      <c r="G1424">
        <f t="shared" si="45"/>
        <v>260.85000000000002</v>
      </c>
      <c r="H1424" s="2">
        <v>45434.857630524908</v>
      </c>
      <c r="I1424" t="s">
        <v>31</v>
      </c>
      <c r="J1424" t="s">
        <v>2891</v>
      </c>
    </row>
    <row r="1425" spans="1:10" x14ac:dyDescent="0.3">
      <c r="A1425" t="s">
        <v>2892</v>
      </c>
      <c r="B1425" t="s">
        <v>20</v>
      </c>
      <c r="C1425" t="s">
        <v>30</v>
      </c>
      <c r="D1425">
        <v>2</v>
      </c>
      <c r="E1425">
        <v>16.64</v>
      </c>
      <c r="F1425" t="str">
        <f t="shared" si="44"/>
        <v>2024-06</v>
      </c>
      <c r="G1425">
        <f t="shared" si="45"/>
        <v>33.28</v>
      </c>
      <c r="H1425" s="2">
        <v>45455.857630524908</v>
      </c>
      <c r="I1425" t="s">
        <v>31</v>
      </c>
      <c r="J1425" t="s">
        <v>2893</v>
      </c>
    </row>
    <row r="1426" spans="1:10" x14ac:dyDescent="0.3">
      <c r="A1426" t="s">
        <v>2894</v>
      </c>
      <c r="B1426" t="s">
        <v>17</v>
      </c>
      <c r="C1426" t="s">
        <v>29</v>
      </c>
      <c r="D1426">
        <v>3</v>
      </c>
      <c r="E1426">
        <v>42.02</v>
      </c>
      <c r="F1426" t="str">
        <f t="shared" si="44"/>
        <v>2025-02</v>
      </c>
      <c r="G1426">
        <f t="shared" si="45"/>
        <v>126.06</v>
      </c>
      <c r="H1426" s="2">
        <v>45697.857630524908</v>
      </c>
      <c r="I1426" t="s">
        <v>32</v>
      </c>
      <c r="J1426" t="s">
        <v>2895</v>
      </c>
    </row>
    <row r="1427" spans="1:10" x14ac:dyDescent="0.3">
      <c r="A1427" t="s">
        <v>2896</v>
      </c>
      <c r="B1427" t="s">
        <v>24</v>
      </c>
      <c r="C1427" t="s">
        <v>28</v>
      </c>
      <c r="D1427">
        <v>5</v>
      </c>
      <c r="E1427">
        <v>41.82</v>
      </c>
      <c r="F1427" t="str">
        <f t="shared" si="44"/>
        <v>2024-04</v>
      </c>
      <c r="G1427">
        <f t="shared" si="45"/>
        <v>209.1</v>
      </c>
      <c r="H1427" s="2">
        <v>45392.857630524908</v>
      </c>
      <c r="I1427" t="s">
        <v>33</v>
      </c>
      <c r="J1427" t="s">
        <v>2897</v>
      </c>
    </row>
    <row r="1428" spans="1:10" x14ac:dyDescent="0.3">
      <c r="A1428" t="s">
        <v>2898</v>
      </c>
      <c r="B1428" t="s">
        <v>20</v>
      </c>
      <c r="C1428" t="s">
        <v>30</v>
      </c>
      <c r="D1428">
        <v>2</v>
      </c>
      <c r="E1428">
        <v>50.99</v>
      </c>
      <c r="F1428" t="str">
        <f t="shared" si="44"/>
        <v>2024-09</v>
      </c>
      <c r="G1428">
        <f t="shared" si="45"/>
        <v>101.98</v>
      </c>
      <c r="H1428" s="2">
        <v>45548.857630524908</v>
      </c>
      <c r="I1428" t="s">
        <v>34</v>
      </c>
      <c r="J1428" t="s">
        <v>2899</v>
      </c>
    </row>
    <row r="1429" spans="1:10" x14ac:dyDescent="0.3">
      <c r="A1429" t="s">
        <v>2900</v>
      </c>
      <c r="B1429" t="s">
        <v>27</v>
      </c>
      <c r="C1429" t="s">
        <v>28</v>
      </c>
      <c r="D1429">
        <v>1</v>
      </c>
      <c r="E1429">
        <v>26.1</v>
      </c>
      <c r="F1429" t="str">
        <f t="shared" si="44"/>
        <v>2024-04</v>
      </c>
      <c r="G1429">
        <f t="shared" si="45"/>
        <v>26.1</v>
      </c>
      <c r="H1429" s="2">
        <v>45387.857630524908</v>
      </c>
      <c r="I1429" t="s">
        <v>34</v>
      </c>
      <c r="J1429" t="s">
        <v>2901</v>
      </c>
    </row>
    <row r="1430" spans="1:10" x14ac:dyDescent="0.3">
      <c r="A1430" t="s">
        <v>2902</v>
      </c>
      <c r="B1430" t="s">
        <v>16</v>
      </c>
      <c r="C1430" t="s">
        <v>29</v>
      </c>
      <c r="D1430">
        <v>1</v>
      </c>
      <c r="E1430">
        <v>18.57</v>
      </c>
      <c r="F1430" t="str">
        <f t="shared" si="44"/>
        <v>2024-04</v>
      </c>
      <c r="G1430">
        <f t="shared" si="45"/>
        <v>18.57</v>
      </c>
      <c r="H1430" s="2">
        <v>45390.857630524908</v>
      </c>
      <c r="I1430" t="s">
        <v>33</v>
      </c>
      <c r="J1430" t="s">
        <v>2903</v>
      </c>
    </row>
    <row r="1431" spans="1:10" x14ac:dyDescent="0.3">
      <c r="A1431" t="s">
        <v>2904</v>
      </c>
      <c r="B1431" t="s">
        <v>27</v>
      </c>
      <c r="C1431" t="s">
        <v>28</v>
      </c>
      <c r="D1431">
        <v>2</v>
      </c>
      <c r="E1431">
        <v>19.03</v>
      </c>
      <c r="F1431" t="str">
        <f t="shared" si="44"/>
        <v>2024-11</v>
      </c>
      <c r="G1431">
        <f t="shared" si="45"/>
        <v>38.06</v>
      </c>
      <c r="H1431" s="2">
        <v>45615.857630524908</v>
      </c>
      <c r="I1431" t="s">
        <v>31</v>
      </c>
      <c r="J1431" t="s">
        <v>2905</v>
      </c>
    </row>
    <row r="1432" spans="1:10" x14ac:dyDescent="0.3">
      <c r="A1432" t="s">
        <v>2906</v>
      </c>
      <c r="B1432" t="s">
        <v>24</v>
      </c>
      <c r="C1432" t="s">
        <v>28</v>
      </c>
      <c r="D1432">
        <v>3</v>
      </c>
      <c r="E1432">
        <v>58</v>
      </c>
      <c r="F1432" t="str">
        <f t="shared" si="44"/>
        <v>2024-04</v>
      </c>
      <c r="G1432">
        <f t="shared" si="45"/>
        <v>174</v>
      </c>
      <c r="H1432" s="2">
        <v>45405.857630524908</v>
      </c>
      <c r="I1432" t="s">
        <v>35</v>
      </c>
      <c r="J1432" t="s">
        <v>2907</v>
      </c>
    </row>
    <row r="1433" spans="1:10" x14ac:dyDescent="0.3">
      <c r="A1433" t="s">
        <v>2908</v>
      </c>
      <c r="B1433" t="s">
        <v>21</v>
      </c>
      <c r="C1433" t="s">
        <v>30</v>
      </c>
      <c r="D1433">
        <v>3</v>
      </c>
      <c r="E1433">
        <v>31.17</v>
      </c>
      <c r="F1433" t="str">
        <f t="shared" si="44"/>
        <v>2025-02</v>
      </c>
      <c r="G1433">
        <f t="shared" si="45"/>
        <v>93.51</v>
      </c>
      <c r="H1433" s="2">
        <v>45709.857630524908</v>
      </c>
      <c r="I1433" t="s">
        <v>31</v>
      </c>
      <c r="J1433" t="s">
        <v>2909</v>
      </c>
    </row>
    <row r="1434" spans="1:10" x14ac:dyDescent="0.3">
      <c r="A1434" t="s">
        <v>2910</v>
      </c>
      <c r="B1434" t="s">
        <v>21</v>
      </c>
      <c r="C1434" t="s">
        <v>30</v>
      </c>
      <c r="D1434">
        <v>2</v>
      </c>
      <c r="E1434">
        <v>24.73</v>
      </c>
      <c r="F1434" t="str">
        <f t="shared" si="44"/>
        <v>2024-11</v>
      </c>
      <c r="G1434">
        <f t="shared" si="45"/>
        <v>49.46</v>
      </c>
      <c r="H1434" s="2">
        <v>45604.857630524908</v>
      </c>
      <c r="I1434" t="s">
        <v>32</v>
      </c>
      <c r="J1434" t="s">
        <v>2911</v>
      </c>
    </row>
    <row r="1435" spans="1:10" x14ac:dyDescent="0.3">
      <c r="A1435" t="s">
        <v>2912</v>
      </c>
      <c r="B1435" t="s">
        <v>23</v>
      </c>
      <c r="C1435" t="s">
        <v>28</v>
      </c>
      <c r="D1435">
        <v>3</v>
      </c>
      <c r="E1435">
        <v>10.8</v>
      </c>
      <c r="F1435" t="str">
        <f t="shared" si="44"/>
        <v>2025-02</v>
      </c>
      <c r="G1435">
        <f t="shared" si="45"/>
        <v>32.400000000000006</v>
      </c>
      <c r="H1435" s="2">
        <v>45691.857630524908</v>
      </c>
      <c r="I1435" t="s">
        <v>32</v>
      </c>
      <c r="J1435" t="s">
        <v>2913</v>
      </c>
    </row>
    <row r="1436" spans="1:10" x14ac:dyDescent="0.3">
      <c r="A1436" t="s">
        <v>2914</v>
      </c>
      <c r="B1436" t="s">
        <v>27</v>
      </c>
      <c r="C1436" t="s">
        <v>28</v>
      </c>
      <c r="D1436">
        <v>5</v>
      </c>
      <c r="E1436">
        <v>36.64</v>
      </c>
      <c r="F1436" t="str">
        <f t="shared" si="44"/>
        <v>2025-03</v>
      </c>
      <c r="G1436">
        <f t="shared" si="45"/>
        <v>183.2</v>
      </c>
      <c r="H1436" s="2">
        <v>45718.857630524908</v>
      </c>
      <c r="I1436" t="s">
        <v>31</v>
      </c>
      <c r="J1436" t="s">
        <v>2915</v>
      </c>
    </row>
    <row r="1437" spans="1:10" x14ac:dyDescent="0.3">
      <c r="A1437" t="s">
        <v>2916</v>
      </c>
      <c r="B1437" t="s">
        <v>24</v>
      </c>
      <c r="C1437" t="s">
        <v>28</v>
      </c>
      <c r="D1437">
        <v>2</v>
      </c>
      <c r="E1437">
        <v>22.18</v>
      </c>
      <c r="F1437" t="str">
        <f t="shared" si="44"/>
        <v>2024-09</v>
      </c>
      <c r="G1437">
        <f t="shared" si="45"/>
        <v>44.36</v>
      </c>
      <c r="H1437" s="2">
        <v>45552.857630524908</v>
      </c>
      <c r="I1437" t="s">
        <v>35</v>
      </c>
      <c r="J1437" t="s">
        <v>2917</v>
      </c>
    </row>
    <row r="1438" spans="1:10" x14ac:dyDescent="0.3">
      <c r="A1438" t="s">
        <v>2918</v>
      </c>
      <c r="B1438" t="s">
        <v>18</v>
      </c>
      <c r="C1438" t="s">
        <v>29</v>
      </c>
      <c r="D1438">
        <v>1</v>
      </c>
      <c r="E1438">
        <v>14.06</v>
      </c>
      <c r="F1438" t="str">
        <f t="shared" si="44"/>
        <v>2024-10</v>
      </c>
      <c r="G1438">
        <f t="shared" si="45"/>
        <v>14.06</v>
      </c>
      <c r="H1438" s="2">
        <v>45580.857630524908</v>
      </c>
      <c r="I1438" t="s">
        <v>35</v>
      </c>
      <c r="J1438" t="s">
        <v>2919</v>
      </c>
    </row>
    <row r="1439" spans="1:10" x14ac:dyDescent="0.3">
      <c r="A1439" t="s">
        <v>2920</v>
      </c>
      <c r="B1439" t="s">
        <v>17</v>
      </c>
      <c r="C1439" t="s">
        <v>29</v>
      </c>
      <c r="D1439">
        <v>5</v>
      </c>
      <c r="E1439">
        <v>44.67</v>
      </c>
      <c r="F1439" t="str">
        <f t="shared" si="44"/>
        <v>2024-11</v>
      </c>
      <c r="G1439">
        <f t="shared" si="45"/>
        <v>223.35000000000002</v>
      </c>
      <c r="H1439" s="2">
        <v>45601.857630524908</v>
      </c>
      <c r="I1439" t="s">
        <v>34</v>
      </c>
      <c r="J1439" t="s">
        <v>2921</v>
      </c>
    </row>
    <row r="1440" spans="1:10" x14ac:dyDescent="0.3">
      <c r="A1440" t="s">
        <v>2922</v>
      </c>
      <c r="B1440" t="s">
        <v>23</v>
      </c>
      <c r="C1440" t="s">
        <v>28</v>
      </c>
      <c r="D1440">
        <v>3</v>
      </c>
      <c r="E1440">
        <v>27.33</v>
      </c>
      <c r="F1440" t="str">
        <f t="shared" si="44"/>
        <v>2025-01</v>
      </c>
      <c r="G1440">
        <f t="shared" si="45"/>
        <v>81.99</v>
      </c>
      <c r="H1440" s="2">
        <v>45682.857630524908</v>
      </c>
      <c r="I1440" t="s">
        <v>33</v>
      </c>
      <c r="J1440" t="s">
        <v>2923</v>
      </c>
    </row>
    <row r="1441" spans="1:10" x14ac:dyDescent="0.3">
      <c r="A1441" t="s">
        <v>2924</v>
      </c>
      <c r="B1441" t="s">
        <v>23</v>
      </c>
      <c r="C1441" t="s">
        <v>28</v>
      </c>
      <c r="D1441">
        <v>4</v>
      </c>
      <c r="E1441">
        <v>53.88</v>
      </c>
      <c r="F1441" t="str">
        <f t="shared" si="44"/>
        <v>2024-08</v>
      </c>
      <c r="G1441">
        <f t="shared" si="45"/>
        <v>215.52</v>
      </c>
      <c r="H1441" s="2">
        <v>45532.857630524908</v>
      </c>
      <c r="I1441" t="s">
        <v>31</v>
      </c>
      <c r="J1441" t="s">
        <v>2925</v>
      </c>
    </row>
    <row r="1442" spans="1:10" x14ac:dyDescent="0.3">
      <c r="A1442" t="s">
        <v>2926</v>
      </c>
      <c r="B1442" t="s">
        <v>25</v>
      </c>
      <c r="C1442" t="s">
        <v>30</v>
      </c>
      <c r="D1442">
        <v>4</v>
      </c>
      <c r="E1442">
        <v>56.84</v>
      </c>
      <c r="F1442" t="str">
        <f t="shared" si="44"/>
        <v>2025-01</v>
      </c>
      <c r="G1442">
        <f t="shared" si="45"/>
        <v>227.36</v>
      </c>
      <c r="H1442" s="2">
        <v>45687.857630524908</v>
      </c>
      <c r="I1442" t="s">
        <v>35</v>
      </c>
      <c r="J1442" t="s">
        <v>2927</v>
      </c>
    </row>
    <row r="1443" spans="1:10" x14ac:dyDescent="0.3">
      <c r="A1443" t="s">
        <v>2928</v>
      </c>
      <c r="B1443" t="s">
        <v>22</v>
      </c>
      <c r="C1443" t="s">
        <v>30</v>
      </c>
      <c r="D1443">
        <v>1</v>
      </c>
      <c r="E1443">
        <v>13.77</v>
      </c>
      <c r="F1443" t="str">
        <f t="shared" si="44"/>
        <v>2024-05</v>
      </c>
      <c r="G1443">
        <f t="shared" si="45"/>
        <v>13.77</v>
      </c>
      <c r="H1443" s="2">
        <v>45429.857630524908</v>
      </c>
      <c r="I1443" t="s">
        <v>31</v>
      </c>
      <c r="J1443" t="s">
        <v>2929</v>
      </c>
    </row>
    <row r="1444" spans="1:10" x14ac:dyDescent="0.3">
      <c r="A1444" t="s">
        <v>2930</v>
      </c>
      <c r="B1444" t="s">
        <v>18</v>
      </c>
      <c r="C1444" t="s">
        <v>29</v>
      </c>
      <c r="D1444">
        <v>5</v>
      </c>
      <c r="E1444">
        <v>46.08</v>
      </c>
      <c r="F1444" t="str">
        <f t="shared" si="44"/>
        <v>2025-03</v>
      </c>
      <c r="G1444">
        <f t="shared" si="45"/>
        <v>230.39999999999998</v>
      </c>
      <c r="H1444" s="2">
        <v>45724.857630524908</v>
      </c>
      <c r="I1444" t="s">
        <v>31</v>
      </c>
      <c r="J1444" t="s">
        <v>2931</v>
      </c>
    </row>
    <row r="1445" spans="1:10" x14ac:dyDescent="0.3">
      <c r="A1445" t="s">
        <v>2932</v>
      </c>
      <c r="B1445" t="s">
        <v>27</v>
      </c>
      <c r="C1445" t="s">
        <v>28</v>
      </c>
      <c r="D1445">
        <v>1</v>
      </c>
      <c r="E1445">
        <v>54.33</v>
      </c>
      <c r="F1445" t="str">
        <f t="shared" si="44"/>
        <v>2025-02</v>
      </c>
      <c r="G1445">
        <f t="shared" si="45"/>
        <v>54.33</v>
      </c>
      <c r="H1445" s="2">
        <v>45704.857630524908</v>
      </c>
      <c r="I1445" t="s">
        <v>32</v>
      </c>
      <c r="J1445" t="s">
        <v>2933</v>
      </c>
    </row>
    <row r="1446" spans="1:10" x14ac:dyDescent="0.3">
      <c r="A1446" t="s">
        <v>2934</v>
      </c>
      <c r="B1446" t="s">
        <v>18</v>
      </c>
      <c r="C1446" t="s">
        <v>29</v>
      </c>
      <c r="D1446">
        <v>4</v>
      </c>
      <c r="E1446">
        <v>37.130000000000003</v>
      </c>
      <c r="F1446" t="str">
        <f t="shared" si="44"/>
        <v>2024-05</v>
      </c>
      <c r="G1446">
        <f t="shared" si="45"/>
        <v>148.52000000000001</v>
      </c>
      <c r="H1446" s="2">
        <v>45418.857630524908</v>
      </c>
      <c r="I1446" t="s">
        <v>33</v>
      </c>
      <c r="J1446" t="s">
        <v>2935</v>
      </c>
    </row>
    <row r="1447" spans="1:10" x14ac:dyDescent="0.3">
      <c r="A1447" t="s">
        <v>2936</v>
      </c>
      <c r="B1447" t="s">
        <v>22</v>
      </c>
      <c r="C1447" t="s">
        <v>30</v>
      </c>
      <c r="D1447">
        <v>5</v>
      </c>
      <c r="E1447">
        <v>47.48</v>
      </c>
      <c r="F1447" t="str">
        <f t="shared" si="44"/>
        <v>2025-01</v>
      </c>
      <c r="G1447">
        <f t="shared" si="45"/>
        <v>237.39999999999998</v>
      </c>
      <c r="H1447" s="2">
        <v>45674.857630524908</v>
      </c>
      <c r="I1447" t="s">
        <v>31</v>
      </c>
      <c r="J1447" t="s">
        <v>2937</v>
      </c>
    </row>
    <row r="1448" spans="1:10" x14ac:dyDescent="0.3">
      <c r="A1448" t="s">
        <v>2938</v>
      </c>
      <c r="B1448" t="s">
        <v>22</v>
      </c>
      <c r="C1448" t="s">
        <v>30</v>
      </c>
      <c r="D1448">
        <v>3</v>
      </c>
      <c r="E1448">
        <v>10.81</v>
      </c>
      <c r="F1448" t="str">
        <f t="shared" si="44"/>
        <v>2025-02</v>
      </c>
      <c r="G1448">
        <f t="shared" si="45"/>
        <v>32.43</v>
      </c>
      <c r="H1448" s="2">
        <v>45713.857630524908</v>
      </c>
      <c r="I1448" t="s">
        <v>34</v>
      </c>
      <c r="J1448" t="s">
        <v>2939</v>
      </c>
    </row>
    <row r="1449" spans="1:10" x14ac:dyDescent="0.3">
      <c r="A1449" t="s">
        <v>2940</v>
      </c>
      <c r="B1449" t="s">
        <v>25</v>
      </c>
      <c r="C1449" t="s">
        <v>30</v>
      </c>
      <c r="D1449">
        <v>2</v>
      </c>
      <c r="E1449">
        <v>10.97</v>
      </c>
      <c r="F1449" t="str">
        <f t="shared" si="44"/>
        <v>2025-01</v>
      </c>
      <c r="G1449">
        <f t="shared" si="45"/>
        <v>21.94</v>
      </c>
      <c r="H1449" s="2">
        <v>45674.857630524908</v>
      </c>
      <c r="I1449" t="s">
        <v>31</v>
      </c>
      <c r="J1449" t="s">
        <v>2941</v>
      </c>
    </row>
    <row r="1450" spans="1:10" x14ac:dyDescent="0.3">
      <c r="A1450" t="s">
        <v>2942</v>
      </c>
      <c r="B1450" t="s">
        <v>21</v>
      </c>
      <c r="C1450" t="s">
        <v>30</v>
      </c>
      <c r="D1450">
        <v>5</v>
      </c>
      <c r="E1450">
        <v>18.16</v>
      </c>
      <c r="F1450" t="str">
        <f t="shared" si="44"/>
        <v>2024-06</v>
      </c>
      <c r="G1450">
        <f t="shared" si="45"/>
        <v>90.8</v>
      </c>
      <c r="H1450" s="2">
        <v>45467.857630524908</v>
      </c>
      <c r="I1450" t="s">
        <v>33</v>
      </c>
      <c r="J1450" t="s">
        <v>2943</v>
      </c>
    </row>
    <row r="1451" spans="1:10" x14ac:dyDescent="0.3">
      <c r="A1451" t="s">
        <v>2944</v>
      </c>
      <c r="B1451" t="s">
        <v>22</v>
      </c>
      <c r="C1451" t="s">
        <v>30</v>
      </c>
      <c r="D1451">
        <v>3</v>
      </c>
      <c r="E1451">
        <v>40.76</v>
      </c>
      <c r="F1451" t="str">
        <f t="shared" si="44"/>
        <v>2025-03</v>
      </c>
      <c r="G1451">
        <f t="shared" si="45"/>
        <v>122.28</v>
      </c>
      <c r="H1451" s="2">
        <v>45725.857630524908</v>
      </c>
      <c r="I1451" t="s">
        <v>32</v>
      </c>
      <c r="J1451" t="s">
        <v>2945</v>
      </c>
    </row>
    <row r="1452" spans="1:10" x14ac:dyDescent="0.3">
      <c r="A1452" t="s">
        <v>2946</v>
      </c>
      <c r="B1452" t="s">
        <v>16</v>
      </c>
      <c r="C1452" t="s">
        <v>29</v>
      </c>
      <c r="D1452">
        <v>3</v>
      </c>
      <c r="E1452">
        <v>52.15</v>
      </c>
      <c r="F1452" t="str">
        <f t="shared" si="44"/>
        <v>2024-07</v>
      </c>
      <c r="G1452">
        <f t="shared" si="45"/>
        <v>156.44999999999999</v>
      </c>
      <c r="H1452" s="2">
        <v>45491.857630524908</v>
      </c>
      <c r="I1452" t="s">
        <v>33</v>
      </c>
      <c r="J1452" t="s">
        <v>2947</v>
      </c>
    </row>
    <row r="1453" spans="1:10" x14ac:dyDescent="0.3">
      <c r="A1453" t="s">
        <v>2948</v>
      </c>
      <c r="B1453" t="s">
        <v>26</v>
      </c>
      <c r="C1453" t="s">
        <v>28</v>
      </c>
      <c r="D1453">
        <v>5</v>
      </c>
      <c r="E1453">
        <v>21.53</v>
      </c>
      <c r="F1453" t="str">
        <f t="shared" si="44"/>
        <v>2024-07</v>
      </c>
      <c r="G1453">
        <f t="shared" si="45"/>
        <v>107.65</v>
      </c>
      <c r="H1453" s="2">
        <v>45501.857630524908</v>
      </c>
      <c r="I1453" t="s">
        <v>35</v>
      </c>
      <c r="J1453" t="s">
        <v>2949</v>
      </c>
    </row>
    <row r="1454" spans="1:10" x14ac:dyDescent="0.3">
      <c r="A1454" t="s">
        <v>2950</v>
      </c>
      <c r="B1454" t="s">
        <v>20</v>
      </c>
      <c r="C1454" t="s">
        <v>30</v>
      </c>
      <c r="D1454">
        <v>2</v>
      </c>
      <c r="E1454">
        <v>30.62</v>
      </c>
      <c r="F1454" t="str">
        <f t="shared" si="44"/>
        <v>2024-08</v>
      </c>
      <c r="G1454">
        <f t="shared" si="45"/>
        <v>61.24</v>
      </c>
      <c r="H1454" s="2">
        <v>45533.857630524908</v>
      </c>
      <c r="I1454" t="s">
        <v>32</v>
      </c>
      <c r="J1454" t="s">
        <v>2951</v>
      </c>
    </row>
    <row r="1455" spans="1:10" x14ac:dyDescent="0.3">
      <c r="A1455" t="s">
        <v>2952</v>
      </c>
      <c r="B1455" t="s">
        <v>25</v>
      </c>
      <c r="C1455" t="s">
        <v>30</v>
      </c>
      <c r="D1455">
        <v>4</v>
      </c>
      <c r="E1455">
        <v>56.23</v>
      </c>
      <c r="F1455" t="str">
        <f t="shared" si="44"/>
        <v>2024-11</v>
      </c>
      <c r="G1455">
        <f t="shared" si="45"/>
        <v>224.92</v>
      </c>
      <c r="H1455" s="2">
        <v>45616.857630524908</v>
      </c>
      <c r="I1455" t="s">
        <v>31</v>
      </c>
      <c r="J1455" t="s">
        <v>2953</v>
      </c>
    </row>
    <row r="1456" spans="1:10" x14ac:dyDescent="0.3">
      <c r="A1456" t="s">
        <v>2954</v>
      </c>
      <c r="B1456" t="s">
        <v>17</v>
      </c>
      <c r="C1456" t="s">
        <v>29</v>
      </c>
      <c r="D1456">
        <v>2</v>
      </c>
      <c r="E1456">
        <v>19.2</v>
      </c>
      <c r="F1456" t="str">
        <f t="shared" si="44"/>
        <v>2024-07</v>
      </c>
      <c r="G1456">
        <f t="shared" si="45"/>
        <v>38.4</v>
      </c>
      <c r="H1456" s="2">
        <v>45484.857630524908</v>
      </c>
      <c r="I1456" t="s">
        <v>34</v>
      </c>
      <c r="J1456" t="s">
        <v>2955</v>
      </c>
    </row>
    <row r="1457" spans="1:10" x14ac:dyDescent="0.3">
      <c r="A1457" t="s">
        <v>2956</v>
      </c>
      <c r="B1457" t="s">
        <v>18</v>
      </c>
      <c r="C1457" t="s">
        <v>29</v>
      </c>
      <c r="D1457">
        <v>3</v>
      </c>
      <c r="E1457">
        <v>49.99</v>
      </c>
      <c r="F1457" t="str">
        <f t="shared" si="44"/>
        <v>2024-08</v>
      </c>
      <c r="G1457">
        <f t="shared" si="45"/>
        <v>149.97</v>
      </c>
      <c r="H1457" s="2">
        <v>45525.857630524908</v>
      </c>
      <c r="I1457" t="s">
        <v>32</v>
      </c>
      <c r="J1457" t="s">
        <v>2957</v>
      </c>
    </row>
    <row r="1458" spans="1:10" x14ac:dyDescent="0.3">
      <c r="A1458" t="s">
        <v>2958</v>
      </c>
      <c r="B1458" t="s">
        <v>25</v>
      </c>
      <c r="C1458" t="s">
        <v>30</v>
      </c>
      <c r="D1458">
        <v>5</v>
      </c>
      <c r="E1458">
        <v>37.97</v>
      </c>
      <c r="F1458" t="str">
        <f t="shared" si="44"/>
        <v>2025-02</v>
      </c>
      <c r="G1458">
        <f t="shared" si="45"/>
        <v>189.85</v>
      </c>
      <c r="H1458" s="2">
        <v>45702.857630524908</v>
      </c>
      <c r="I1458" t="s">
        <v>31</v>
      </c>
      <c r="J1458" t="s">
        <v>2959</v>
      </c>
    </row>
    <row r="1459" spans="1:10" x14ac:dyDescent="0.3">
      <c r="A1459" t="s">
        <v>2960</v>
      </c>
      <c r="B1459" t="s">
        <v>16</v>
      </c>
      <c r="C1459" t="s">
        <v>29</v>
      </c>
      <c r="D1459">
        <v>1</v>
      </c>
      <c r="E1459">
        <v>18.95</v>
      </c>
      <c r="F1459" t="str">
        <f t="shared" si="44"/>
        <v>2024-12</v>
      </c>
      <c r="G1459">
        <f t="shared" si="45"/>
        <v>18.95</v>
      </c>
      <c r="H1459" s="2">
        <v>45627.857630524908</v>
      </c>
      <c r="I1459" t="s">
        <v>33</v>
      </c>
      <c r="J1459" t="s">
        <v>2961</v>
      </c>
    </row>
    <row r="1460" spans="1:10" x14ac:dyDescent="0.3">
      <c r="A1460" t="s">
        <v>2962</v>
      </c>
      <c r="B1460" t="s">
        <v>17</v>
      </c>
      <c r="C1460" t="s">
        <v>29</v>
      </c>
      <c r="D1460">
        <v>4</v>
      </c>
      <c r="E1460">
        <v>42.87</v>
      </c>
      <c r="F1460" t="str">
        <f t="shared" si="44"/>
        <v>2024-11</v>
      </c>
      <c r="G1460">
        <f t="shared" si="45"/>
        <v>171.48</v>
      </c>
      <c r="H1460" s="2">
        <v>45603.857630524908</v>
      </c>
      <c r="I1460" t="s">
        <v>35</v>
      </c>
      <c r="J1460" t="s">
        <v>2963</v>
      </c>
    </row>
    <row r="1461" spans="1:10" x14ac:dyDescent="0.3">
      <c r="A1461" t="s">
        <v>2964</v>
      </c>
      <c r="B1461" t="s">
        <v>22</v>
      </c>
      <c r="C1461" t="s">
        <v>30</v>
      </c>
      <c r="D1461">
        <v>4</v>
      </c>
      <c r="E1461">
        <v>18.25</v>
      </c>
      <c r="F1461" t="str">
        <f t="shared" si="44"/>
        <v>2024-04</v>
      </c>
      <c r="G1461">
        <f t="shared" si="45"/>
        <v>73</v>
      </c>
      <c r="H1461" s="2">
        <v>45404.857630524908</v>
      </c>
      <c r="I1461" t="s">
        <v>33</v>
      </c>
      <c r="J1461" t="s">
        <v>2965</v>
      </c>
    </row>
    <row r="1462" spans="1:10" x14ac:dyDescent="0.3">
      <c r="A1462" t="s">
        <v>2966</v>
      </c>
      <c r="B1462" t="s">
        <v>26</v>
      </c>
      <c r="C1462" t="s">
        <v>28</v>
      </c>
      <c r="D1462">
        <v>4</v>
      </c>
      <c r="E1462">
        <v>14.02</v>
      </c>
      <c r="F1462" t="str">
        <f t="shared" si="44"/>
        <v>2024-10</v>
      </c>
      <c r="G1462">
        <f t="shared" si="45"/>
        <v>56.08</v>
      </c>
      <c r="H1462" s="2">
        <v>45592.857630524908</v>
      </c>
      <c r="I1462" t="s">
        <v>33</v>
      </c>
      <c r="J1462" t="s">
        <v>2967</v>
      </c>
    </row>
    <row r="1463" spans="1:10" x14ac:dyDescent="0.3">
      <c r="A1463" t="s">
        <v>2968</v>
      </c>
      <c r="B1463" t="s">
        <v>24</v>
      </c>
      <c r="C1463" t="s">
        <v>28</v>
      </c>
      <c r="D1463">
        <v>2</v>
      </c>
      <c r="E1463">
        <v>37.909999999999997</v>
      </c>
      <c r="F1463" t="str">
        <f t="shared" si="44"/>
        <v>2024-12</v>
      </c>
      <c r="G1463">
        <f t="shared" si="45"/>
        <v>75.819999999999993</v>
      </c>
      <c r="H1463" s="2">
        <v>45638.857630524908</v>
      </c>
      <c r="I1463" t="s">
        <v>35</v>
      </c>
      <c r="J1463" t="s">
        <v>2969</v>
      </c>
    </row>
    <row r="1464" spans="1:10" x14ac:dyDescent="0.3">
      <c r="A1464" t="s">
        <v>2970</v>
      </c>
      <c r="B1464" t="s">
        <v>26</v>
      </c>
      <c r="C1464" t="s">
        <v>28</v>
      </c>
      <c r="D1464">
        <v>2</v>
      </c>
      <c r="E1464">
        <v>20.56</v>
      </c>
      <c r="F1464" t="str">
        <f t="shared" si="44"/>
        <v>2024-12</v>
      </c>
      <c r="G1464">
        <f t="shared" si="45"/>
        <v>41.12</v>
      </c>
      <c r="H1464" s="2">
        <v>45636.857630524908</v>
      </c>
      <c r="I1464" t="s">
        <v>32</v>
      </c>
      <c r="J1464" t="s">
        <v>2971</v>
      </c>
    </row>
    <row r="1465" spans="1:10" x14ac:dyDescent="0.3">
      <c r="A1465" t="s">
        <v>2972</v>
      </c>
      <c r="B1465" t="s">
        <v>21</v>
      </c>
      <c r="C1465" t="s">
        <v>30</v>
      </c>
      <c r="D1465">
        <v>2</v>
      </c>
      <c r="E1465">
        <v>27.97</v>
      </c>
      <c r="F1465" t="str">
        <f t="shared" si="44"/>
        <v>2024-04</v>
      </c>
      <c r="G1465">
        <f t="shared" si="45"/>
        <v>55.94</v>
      </c>
      <c r="H1465" s="2">
        <v>45388.857630524908</v>
      </c>
      <c r="I1465" t="s">
        <v>31</v>
      </c>
      <c r="J1465" t="s">
        <v>2973</v>
      </c>
    </row>
    <row r="1466" spans="1:10" x14ac:dyDescent="0.3">
      <c r="A1466" t="s">
        <v>2974</v>
      </c>
      <c r="B1466" t="s">
        <v>21</v>
      </c>
      <c r="C1466" t="s">
        <v>30</v>
      </c>
      <c r="D1466">
        <v>2</v>
      </c>
      <c r="E1466">
        <v>29</v>
      </c>
      <c r="F1466" t="str">
        <f t="shared" si="44"/>
        <v>2024-12</v>
      </c>
      <c r="G1466">
        <f t="shared" si="45"/>
        <v>58</v>
      </c>
      <c r="H1466" s="2">
        <v>45653.857630524908</v>
      </c>
      <c r="I1466" t="s">
        <v>34</v>
      </c>
      <c r="J1466" t="s">
        <v>2975</v>
      </c>
    </row>
    <row r="1467" spans="1:10" x14ac:dyDescent="0.3">
      <c r="A1467" t="s">
        <v>2976</v>
      </c>
      <c r="B1467" t="s">
        <v>24</v>
      </c>
      <c r="C1467" t="s">
        <v>28</v>
      </c>
      <c r="D1467">
        <v>4</v>
      </c>
      <c r="E1467">
        <v>31.85</v>
      </c>
      <c r="F1467" t="str">
        <f t="shared" si="44"/>
        <v>2025-02</v>
      </c>
      <c r="G1467">
        <f t="shared" si="45"/>
        <v>127.4</v>
      </c>
      <c r="H1467" s="2">
        <v>45699.857630524908</v>
      </c>
      <c r="I1467" t="s">
        <v>33</v>
      </c>
      <c r="J1467" t="s">
        <v>2977</v>
      </c>
    </row>
    <row r="1468" spans="1:10" x14ac:dyDescent="0.3">
      <c r="A1468" t="s">
        <v>2978</v>
      </c>
      <c r="B1468" t="s">
        <v>26</v>
      </c>
      <c r="C1468" t="s">
        <v>28</v>
      </c>
      <c r="D1468">
        <v>5</v>
      </c>
      <c r="E1468">
        <v>50.29</v>
      </c>
      <c r="F1468" t="str">
        <f t="shared" si="44"/>
        <v>2025-02</v>
      </c>
      <c r="G1468">
        <f t="shared" si="45"/>
        <v>251.45</v>
      </c>
      <c r="H1468" s="2">
        <v>45712.857630524908</v>
      </c>
      <c r="I1468" t="s">
        <v>35</v>
      </c>
      <c r="J1468" t="s">
        <v>2979</v>
      </c>
    </row>
    <row r="1469" spans="1:10" x14ac:dyDescent="0.3">
      <c r="A1469" t="s">
        <v>2980</v>
      </c>
      <c r="B1469" t="s">
        <v>16</v>
      </c>
      <c r="C1469" t="s">
        <v>29</v>
      </c>
      <c r="D1469">
        <v>4</v>
      </c>
      <c r="E1469">
        <v>24</v>
      </c>
      <c r="F1469" t="str">
        <f t="shared" si="44"/>
        <v>2024-07</v>
      </c>
      <c r="G1469">
        <f t="shared" si="45"/>
        <v>96</v>
      </c>
      <c r="H1469" s="2">
        <v>45482.857630524908</v>
      </c>
      <c r="I1469" t="s">
        <v>32</v>
      </c>
      <c r="J1469" t="s">
        <v>2981</v>
      </c>
    </row>
    <row r="1470" spans="1:10" x14ac:dyDescent="0.3">
      <c r="A1470" t="s">
        <v>2982</v>
      </c>
      <c r="B1470" t="s">
        <v>26</v>
      </c>
      <c r="C1470" t="s">
        <v>28</v>
      </c>
      <c r="D1470">
        <v>4</v>
      </c>
      <c r="E1470">
        <v>18.88</v>
      </c>
      <c r="F1470" t="str">
        <f t="shared" si="44"/>
        <v>2024-06</v>
      </c>
      <c r="G1470">
        <f t="shared" si="45"/>
        <v>75.52</v>
      </c>
      <c r="H1470" s="2">
        <v>45465.857630524908</v>
      </c>
      <c r="I1470" t="s">
        <v>31</v>
      </c>
      <c r="J1470" t="s">
        <v>2983</v>
      </c>
    </row>
    <row r="1471" spans="1:10" x14ac:dyDescent="0.3">
      <c r="A1471" t="s">
        <v>2984</v>
      </c>
      <c r="B1471" t="s">
        <v>21</v>
      </c>
      <c r="C1471" t="s">
        <v>30</v>
      </c>
      <c r="D1471">
        <v>2</v>
      </c>
      <c r="E1471">
        <v>12.05</v>
      </c>
      <c r="F1471" t="str">
        <f t="shared" si="44"/>
        <v>2024-12</v>
      </c>
      <c r="G1471">
        <f t="shared" si="45"/>
        <v>24.1</v>
      </c>
      <c r="H1471" s="2">
        <v>45630.857630524908</v>
      </c>
      <c r="I1471" t="s">
        <v>31</v>
      </c>
      <c r="J1471" t="s">
        <v>2985</v>
      </c>
    </row>
    <row r="1472" spans="1:10" x14ac:dyDescent="0.3">
      <c r="A1472" t="s">
        <v>2986</v>
      </c>
      <c r="B1472" t="s">
        <v>24</v>
      </c>
      <c r="C1472" t="s">
        <v>28</v>
      </c>
      <c r="D1472">
        <v>3</v>
      </c>
      <c r="E1472">
        <v>31.5</v>
      </c>
      <c r="F1472" t="str">
        <f t="shared" si="44"/>
        <v>2025-01</v>
      </c>
      <c r="G1472">
        <f t="shared" si="45"/>
        <v>94.5</v>
      </c>
      <c r="H1472" s="2">
        <v>45661.857630524908</v>
      </c>
      <c r="I1472" t="s">
        <v>31</v>
      </c>
      <c r="J1472" t="s">
        <v>2987</v>
      </c>
    </row>
    <row r="1473" spans="1:10" x14ac:dyDescent="0.3">
      <c r="A1473" t="s">
        <v>2988</v>
      </c>
      <c r="B1473" t="s">
        <v>26</v>
      </c>
      <c r="C1473" t="s">
        <v>28</v>
      </c>
      <c r="D1473">
        <v>1</v>
      </c>
      <c r="E1473">
        <v>19.29</v>
      </c>
      <c r="F1473" t="str">
        <f t="shared" si="44"/>
        <v>2024-08</v>
      </c>
      <c r="G1473">
        <f t="shared" si="45"/>
        <v>19.29</v>
      </c>
      <c r="H1473" s="2">
        <v>45511.857630524908</v>
      </c>
      <c r="I1473" t="s">
        <v>32</v>
      </c>
      <c r="J1473" t="s">
        <v>2989</v>
      </c>
    </row>
    <row r="1474" spans="1:10" x14ac:dyDescent="0.3">
      <c r="A1474" t="s">
        <v>2990</v>
      </c>
      <c r="B1474" t="s">
        <v>17</v>
      </c>
      <c r="C1474" t="s">
        <v>29</v>
      </c>
      <c r="D1474">
        <v>5</v>
      </c>
      <c r="E1474">
        <v>31.69</v>
      </c>
      <c r="F1474" t="str">
        <f t="shared" si="44"/>
        <v>2024-05</v>
      </c>
      <c r="G1474">
        <f t="shared" si="45"/>
        <v>158.45000000000002</v>
      </c>
      <c r="H1474" s="2">
        <v>45439.857630524908</v>
      </c>
      <c r="I1474" t="s">
        <v>34</v>
      </c>
      <c r="J1474" t="s">
        <v>2991</v>
      </c>
    </row>
    <row r="1475" spans="1:10" x14ac:dyDescent="0.3">
      <c r="A1475" t="s">
        <v>2992</v>
      </c>
      <c r="B1475" t="s">
        <v>17</v>
      </c>
      <c r="C1475" t="s">
        <v>29</v>
      </c>
      <c r="D1475">
        <v>2</v>
      </c>
      <c r="E1475">
        <v>58.17</v>
      </c>
      <c r="F1475" t="str">
        <f t="shared" ref="F1475:F1501" si="46">TEXT(H1475, "yyyy-mm")</f>
        <v>2024-06</v>
      </c>
      <c r="G1475">
        <f t="shared" ref="G1475:G1501" si="47">D1475*E1475</f>
        <v>116.34</v>
      </c>
      <c r="H1475" s="2">
        <v>45448.857630524908</v>
      </c>
      <c r="I1475" t="s">
        <v>35</v>
      </c>
      <c r="J1475" t="s">
        <v>2993</v>
      </c>
    </row>
    <row r="1476" spans="1:10" x14ac:dyDescent="0.3">
      <c r="A1476" t="s">
        <v>2994</v>
      </c>
      <c r="B1476" t="s">
        <v>16</v>
      </c>
      <c r="C1476" t="s">
        <v>29</v>
      </c>
      <c r="D1476">
        <v>2</v>
      </c>
      <c r="E1476">
        <v>30.2</v>
      </c>
      <c r="F1476" t="str">
        <f t="shared" si="46"/>
        <v>2024-09</v>
      </c>
      <c r="G1476">
        <f t="shared" si="47"/>
        <v>60.4</v>
      </c>
      <c r="H1476" s="2">
        <v>45543.857630524908</v>
      </c>
      <c r="I1476" t="s">
        <v>34</v>
      </c>
      <c r="J1476" t="s">
        <v>2995</v>
      </c>
    </row>
    <row r="1477" spans="1:10" x14ac:dyDescent="0.3">
      <c r="A1477" t="s">
        <v>2996</v>
      </c>
      <c r="B1477" t="s">
        <v>19</v>
      </c>
      <c r="C1477" t="s">
        <v>28</v>
      </c>
      <c r="D1477">
        <v>4</v>
      </c>
      <c r="E1477">
        <v>31.11</v>
      </c>
      <c r="F1477" t="str">
        <f t="shared" si="46"/>
        <v>2024-12</v>
      </c>
      <c r="G1477">
        <f t="shared" si="47"/>
        <v>124.44</v>
      </c>
      <c r="H1477" s="2">
        <v>45657.857630524908</v>
      </c>
      <c r="I1477" t="s">
        <v>35</v>
      </c>
      <c r="J1477" t="s">
        <v>2997</v>
      </c>
    </row>
    <row r="1478" spans="1:10" x14ac:dyDescent="0.3">
      <c r="A1478" t="s">
        <v>2998</v>
      </c>
      <c r="B1478" t="s">
        <v>17</v>
      </c>
      <c r="C1478" t="s">
        <v>29</v>
      </c>
      <c r="D1478">
        <v>3</v>
      </c>
      <c r="E1478">
        <v>35.880000000000003</v>
      </c>
      <c r="F1478" t="str">
        <f t="shared" si="46"/>
        <v>2025-03</v>
      </c>
      <c r="G1478">
        <f t="shared" si="47"/>
        <v>107.64000000000001</v>
      </c>
      <c r="H1478" s="2">
        <v>45724.857630524908</v>
      </c>
      <c r="I1478" t="s">
        <v>34</v>
      </c>
      <c r="J1478" t="s">
        <v>2999</v>
      </c>
    </row>
    <row r="1479" spans="1:10" x14ac:dyDescent="0.3">
      <c r="A1479" t="s">
        <v>3000</v>
      </c>
      <c r="B1479" t="s">
        <v>25</v>
      </c>
      <c r="C1479" t="s">
        <v>30</v>
      </c>
      <c r="D1479">
        <v>2</v>
      </c>
      <c r="E1479">
        <v>15.59</v>
      </c>
      <c r="F1479" t="str">
        <f t="shared" si="46"/>
        <v>2025-01</v>
      </c>
      <c r="G1479">
        <f t="shared" si="47"/>
        <v>31.18</v>
      </c>
      <c r="H1479" s="2">
        <v>45683.857630524908</v>
      </c>
      <c r="I1479" t="s">
        <v>31</v>
      </c>
      <c r="J1479" t="s">
        <v>3001</v>
      </c>
    </row>
    <row r="1480" spans="1:10" x14ac:dyDescent="0.3">
      <c r="A1480" t="s">
        <v>3002</v>
      </c>
      <c r="B1480" t="s">
        <v>21</v>
      </c>
      <c r="C1480" t="s">
        <v>30</v>
      </c>
      <c r="D1480">
        <v>1</v>
      </c>
      <c r="E1480">
        <v>56.86</v>
      </c>
      <c r="F1480" t="str">
        <f t="shared" si="46"/>
        <v>2025-02</v>
      </c>
      <c r="G1480">
        <f t="shared" si="47"/>
        <v>56.86</v>
      </c>
      <c r="H1480" s="2">
        <v>45694.857630524908</v>
      </c>
      <c r="I1480" t="s">
        <v>35</v>
      </c>
      <c r="J1480" t="s">
        <v>3003</v>
      </c>
    </row>
    <row r="1481" spans="1:10" x14ac:dyDescent="0.3">
      <c r="A1481" t="s">
        <v>3004</v>
      </c>
      <c r="B1481" t="s">
        <v>18</v>
      </c>
      <c r="C1481" t="s">
        <v>29</v>
      </c>
      <c r="D1481">
        <v>5</v>
      </c>
      <c r="E1481">
        <v>31.09</v>
      </c>
      <c r="F1481" t="str">
        <f t="shared" si="46"/>
        <v>2024-11</v>
      </c>
      <c r="G1481">
        <f t="shared" si="47"/>
        <v>155.44999999999999</v>
      </c>
      <c r="H1481" s="2">
        <v>45598.857630524908</v>
      </c>
      <c r="I1481" t="s">
        <v>34</v>
      </c>
      <c r="J1481" t="s">
        <v>3005</v>
      </c>
    </row>
    <row r="1482" spans="1:10" x14ac:dyDescent="0.3">
      <c r="A1482" t="s">
        <v>3006</v>
      </c>
      <c r="B1482" t="s">
        <v>18</v>
      </c>
      <c r="C1482" t="s">
        <v>29</v>
      </c>
      <c r="D1482">
        <v>2</v>
      </c>
      <c r="E1482">
        <v>37.42</v>
      </c>
      <c r="F1482" t="str">
        <f t="shared" si="46"/>
        <v>2024-10</v>
      </c>
      <c r="G1482">
        <f t="shared" si="47"/>
        <v>74.84</v>
      </c>
      <c r="H1482" s="2">
        <v>45572.857630524908</v>
      </c>
      <c r="I1482" t="s">
        <v>32</v>
      </c>
      <c r="J1482" t="s">
        <v>3007</v>
      </c>
    </row>
    <row r="1483" spans="1:10" x14ac:dyDescent="0.3">
      <c r="A1483" t="s">
        <v>3008</v>
      </c>
      <c r="B1483" t="s">
        <v>16</v>
      </c>
      <c r="C1483" t="s">
        <v>29</v>
      </c>
      <c r="D1483">
        <v>5</v>
      </c>
      <c r="E1483">
        <v>47.44</v>
      </c>
      <c r="F1483" t="str">
        <f t="shared" si="46"/>
        <v>2024-04</v>
      </c>
      <c r="G1483">
        <f t="shared" si="47"/>
        <v>237.2</v>
      </c>
      <c r="H1483" s="2">
        <v>45402.857630524908</v>
      </c>
      <c r="I1483" t="s">
        <v>33</v>
      </c>
      <c r="J1483" t="s">
        <v>3009</v>
      </c>
    </row>
    <row r="1484" spans="1:10" x14ac:dyDescent="0.3">
      <c r="A1484" t="s">
        <v>3010</v>
      </c>
      <c r="B1484" t="s">
        <v>18</v>
      </c>
      <c r="C1484" t="s">
        <v>29</v>
      </c>
      <c r="D1484">
        <v>3</v>
      </c>
      <c r="E1484">
        <v>23.84</v>
      </c>
      <c r="F1484" t="str">
        <f t="shared" si="46"/>
        <v>2024-09</v>
      </c>
      <c r="G1484">
        <f t="shared" si="47"/>
        <v>71.52</v>
      </c>
      <c r="H1484" s="2">
        <v>45557.857630524908</v>
      </c>
      <c r="I1484" t="s">
        <v>31</v>
      </c>
      <c r="J1484" t="s">
        <v>3011</v>
      </c>
    </row>
    <row r="1485" spans="1:10" x14ac:dyDescent="0.3">
      <c r="A1485" t="s">
        <v>3012</v>
      </c>
      <c r="B1485" t="s">
        <v>20</v>
      </c>
      <c r="C1485" t="s">
        <v>30</v>
      </c>
      <c r="D1485">
        <v>5</v>
      </c>
      <c r="E1485">
        <v>23.07</v>
      </c>
      <c r="F1485" t="str">
        <f t="shared" si="46"/>
        <v>2024-11</v>
      </c>
      <c r="G1485">
        <f t="shared" si="47"/>
        <v>115.35</v>
      </c>
      <c r="H1485" s="2">
        <v>45604.857630524908</v>
      </c>
      <c r="I1485" t="s">
        <v>33</v>
      </c>
      <c r="J1485" t="s">
        <v>3013</v>
      </c>
    </row>
    <row r="1486" spans="1:10" x14ac:dyDescent="0.3">
      <c r="A1486" t="s">
        <v>3014</v>
      </c>
      <c r="B1486" t="s">
        <v>18</v>
      </c>
      <c r="C1486" t="s">
        <v>29</v>
      </c>
      <c r="D1486">
        <v>5</v>
      </c>
      <c r="E1486">
        <v>22.28</v>
      </c>
      <c r="F1486" t="str">
        <f t="shared" si="46"/>
        <v>2025-03</v>
      </c>
      <c r="G1486">
        <f t="shared" si="47"/>
        <v>111.4</v>
      </c>
      <c r="H1486" s="2">
        <v>45718.857630524908</v>
      </c>
      <c r="I1486" t="s">
        <v>33</v>
      </c>
      <c r="J1486" t="s">
        <v>3015</v>
      </c>
    </row>
    <row r="1487" spans="1:10" x14ac:dyDescent="0.3">
      <c r="A1487" t="s">
        <v>3016</v>
      </c>
      <c r="B1487" t="s">
        <v>26</v>
      </c>
      <c r="C1487" t="s">
        <v>28</v>
      </c>
      <c r="D1487">
        <v>3</v>
      </c>
      <c r="E1487">
        <v>13.46</v>
      </c>
      <c r="F1487" t="str">
        <f t="shared" si="46"/>
        <v>2024-08</v>
      </c>
      <c r="G1487">
        <f t="shared" si="47"/>
        <v>40.380000000000003</v>
      </c>
      <c r="H1487" s="2">
        <v>45519.857630524908</v>
      </c>
      <c r="I1487" t="s">
        <v>32</v>
      </c>
      <c r="J1487" t="s">
        <v>3017</v>
      </c>
    </row>
    <row r="1488" spans="1:10" x14ac:dyDescent="0.3">
      <c r="A1488" t="s">
        <v>3018</v>
      </c>
      <c r="B1488" t="s">
        <v>22</v>
      </c>
      <c r="C1488" t="s">
        <v>30</v>
      </c>
      <c r="D1488">
        <v>4</v>
      </c>
      <c r="E1488">
        <v>46.69</v>
      </c>
      <c r="F1488" t="str">
        <f t="shared" si="46"/>
        <v>2025-02</v>
      </c>
      <c r="G1488">
        <f t="shared" si="47"/>
        <v>186.76</v>
      </c>
      <c r="H1488" s="2">
        <v>45707.857630524908</v>
      </c>
      <c r="I1488" t="s">
        <v>35</v>
      </c>
      <c r="J1488" t="s">
        <v>3019</v>
      </c>
    </row>
    <row r="1489" spans="1:10" x14ac:dyDescent="0.3">
      <c r="A1489" t="s">
        <v>3020</v>
      </c>
      <c r="B1489" t="s">
        <v>19</v>
      </c>
      <c r="C1489" t="s">
        <v>28</v>
      </c>
      <c r="D1489">
        <v>4</v>
      </c>
      <c r="E1489">
        <v>49.01</v>
      </c>
      <c r="F1489" t="str">
        <f t="shared" si="46"/>
        <v>2024-10</v>
      </c>
      <c r="G1489">
        <f t="shared" si="47"/>
        <v>196.04</v>
      </c>
      <c r="H1489" s="2">
        <v>45578.857630524908</v>
      </c>
      <c r="I1489" t="s">
        <v>34</v>
      </c>
      <c r="J1489" t="s">
        <v>3021</v>
      </c>
    </row>
    <row r="1490" spans="1:10" x14ac:dyDescent="0.3">
      <c r="A1490" t="s">
        <v>3022</v>
      </c>
      <c r="B1490" t="s">
        <v>20</v>
      </c>
      <c r="C1490" t="s">
        <v>30</v>
      </c>
      <c r="D1490">
        <v>3</v>
      </c>
      <c r="E1490">
        <v>10.44</v>
      </c>
      <c r="F1490" t="str">
        <f t="shared" si="46"/>
        <v>2024-09</v>
      </c>
      <c r="G1490">
        <f t="shared" si="47"/>
        <v>31.32</v>
      </c>
      <c r="H1490" s="2">
        <v>45548.857630524908</v>
      </c>
      <c r="I1490" t="s">
        <v>34</v>
      </c>
      <c r="J1490" t="s">
        <v>3023</v>
      </c>
    </row>
    <row r="1491" spans="1:10" x14ac:dyDescent="0.3">
      <c r="A1491" t="s">
        <v>3024</v>
      </c>
      <c r="B1491" t="s">
        <v>20</v>
      </c>
      <c r="C1491" t="s">
        <v>30</v>
      </c>
      <c r="D1491">
        <v>1</v>
      </c>
      <c r="E1491">
        <v>25.17</v>
      </c>
      <c r="F1491" t="str">
        <f t="shared" si="46"/>
        <v>2024-04</v>
      </c>
      <c r="G1491">
        <f t="shared" si="47"/>
        <v>25.17</v>
      </c>
      <c r="H1491" s="2">
        <v>45401.857630524908</v>
      </c>
      <c r="I1491" t="s">
        <v>34</v>
      </c>
      <c r="J1491" t="s">
        <v>3025</v>
      </c>
    </row>
    <row r="1492" spans="1:10" x14ac:dyDescent="0.3">
      <c r="A1492" t="s">
        <v>3026</v>
      </c>
      <c r="B1492" t="s">
        <v>23</v>
      </c>
      <c r="C1492" t="s">
        <v>28</v>
      </c>
      <c r="D1492">
        <v>5</v>
      </c>
      <c r="E1492">
        <v>15.28</v>
      </c>
      <c r="F1492" t="str">
        <f t="shared" si="46"/>
        <v>2024-08</v>
      </c>
      <c r="G1492">
        <f t="shared" si="47"/>
        <v>76.399999999999991</v>
      </c>
      <c r="H1492" s="2">
        <v>45524.857630524908</v>
      </c>
      <c r="I1492" t="s">
        <v>33</v>
      </c>
      <c r="J1492" t="s">
        <v>3027</v>
      </c>
    </row>
    <row r="1493" spans="1:10" x14ac:dyDescent="0.3">
      <c r="A1493" t="s">
        <v>3028</v>
      </c>
      <c r="B1493" t="s">
        <v>19</v>
      </c>
      <c r="C1493" t="s">
        <v>28</v>
      </c>
      <c r="D1493">
        <v>2</v>
      </c>
      <c r="E1493">
        <v>33.520000000000003</v>
      </c>
      <c r="F1493" t="str">
        <f t="shared" si="46"/>
        <v>2024-12</v>
      </c>
      <c r="G1493">
        <f t="shared" si="47"/>
        <v>67.040000000000006</v>
      </c>
      <c r="H1493" s="2">
        <v>45627.857630524908</v>
      </c>
      <c r="I1493" t="s">
        <v>31</v>
      </c>
      <c r="J1493" t="s">
        <v>3029</v>
      </c>
    </row>
    <row r="1494" spans="1:10" x14ac:dyDescent="0.3">
      <c r="A1494" t="s">
        <v>3030</v>
      </c>
      <c r="B1494" t="s">
        <v>25</v>
      </c>
      <c r="C1494" t="s">
        <v>30</v>
      </c>
      <c r="D1494">
        <v>1</v>
      </c>
      <c r="E1494">
        <v>55.75</v>
      </c>
      <c r="F1494" t="str">
        <f t="shared" si="46"/>
        <v>2024-04</v>
      </c>
      <c r="G1494">
        <f t="shared" si="47"/>
        <v>55.75</v>
      </c>
      <c r="H1494" s="2">
        <v>45410.857630524908</v>
      </c>
      <c r="I1494" t="s">
        <v>32</v>
      </c>
      <c r="J1494" t="s">
        <v>3031</v>
      </c>
    </row>
    <row r="1495" spans="1:10" x14ac:dyDescent="0.3">
      <c r="A1495" t="s">
        <v>3032</v>
      </c>
      <c r="B1495" t="s">
        <v>25</v>
      </c>
      <c r="C1495" t="s">
        <v>30</v>
      </c>
      <c r="D1495">
        <v>3</v>
      </c>
      <c r="E1495">
        <v>35.700000000000003</v>
      </c>
      <c r="F1495" t="str">
        <f t="shared" si="46"/>
        <v>2024-04</v>
      </c>
      <c r="G1495">
        <f t="shared" si="47"/>
        <v>107.10000000000001</v>
      </c>
      <c r="H1495" s="2">
        <v>45393.857630524908</v>
      </c>
      <c r="I1495" t="s">
        <v>34</v>
      </c>
      <c r="J1495" t="s">
        <v>3033</v>
      </c>
    </row>
    <row r="1496" spans="1:10" x14ac:dyDescent="0.3">
      <c r="A1496" t="s">
        <v>3034</v>
      </c>
      <c r="B1496" t="s">
        <v>25</v>
      </c>
      <c r="C1496" t="s">
        <v>30</v>
      </c>
      <c r="D1496">
        <v>3</v>
      </c>
      <c r="E1496">
        <v>31.2</v>
      </c>
      <c r="F1496" t="str">
        <f t="shared" si="46"/>
        <v>2025-03</v>
      </c>
      <c r="G1496">
        <f t="shared" si="47"/>
        <v>93.6</v>
      </c>
      <c r="H1496" s="2">
        <v>45720.857630524908</v>
      </c>
      <c r="I1496" t="s">
        <v>35</v>
      </c>
      <c r="J1496" t="s">
        <v>3035</v>
      </c>
    </row>
    <row r="1497" spans="1:10" x14ac:dyDescent="0.3">
      <c r="A1497" t="s">
        <v>3036</v>
      </c>
      <c r="B1497" t="s">
        <v>23</v>
      </c>
      <c r="C1497" t="s">
        <v>28</v>
      </c>
      <c r="D1497">
        <v>1</v>
      </c>
      <c r="E1497">
        <v>26.19</v>
      </c>
      <c r="F1497" t="str">
        <f t="shared" si="46"/>
        <v>2024-09</v>
      </c>
      <c r="G1497">
        <f t="shared" si="47"/>
        <v>26.19</v>
      </c>
      <c r="H1497" s="2">
        <v>45539.857630524908</v>
      </c>
      <c r="I1497" t="s">
        <v>34</v>
      </c>
      <c r="J1497" t="s">
        <v>3037</v>
      </c>
    </row>
    <row r="1498" spans="1:10" x14ac:dyDescent="0.3">
      <c r="A1498" t="s">
        <v>3038</v>
      </c>
      <c r="B1498" t="s">
        <v>17</v>
      </c>
      <c r="C1498" t="s">
        <v>29</v>
      </c>
      <c r="D1498">
        <v>2</v>
      </c>
      <c r="E1498">
        <v>12.3</v>
      </c>
      <c r="F1498" t="str">
        <f t="shared" si="46"/>
        <v>2024-07</v>
      </c>
      <c r="G1498">
        <f t="shared" si="47"/>
        <v>24.6</v>
      </c>
      <c r="H1498" s="2">
        <v>45491.857630524908</v>
      </c>
      <c r="I1498" t="s">
        <v>33</v>
      </c>
      <c r="J1498" t="s">
        <v>3039</v>
      </c>
    </row>
    <row r="1499" spans="1:10" x14ac:dyDescent="0.3">
      <c r="A1499" t="s">
        <v>3040</v>
      </c>
      <c r="B1499" t="s">
        <v>24</v>
      </c>
      <c r="C1499" t="s">
        <v>28</v>
      </c>
      <c r="D1499">
        <v>4</v>
      </c>
      <c r="E1499">
        <v>24.82</v>
      </c>
      <c r="F1499" t="str">
        <f t="shared" si="46"/>
        <v>2024-12</v>
      </c>
      <c r="G1499">
        <f t="shared" si="47"/>
        <v>99.28</v>
      </c>
      <c r="H1499" s="2">
        <v>45631.857630524908</v>
      </c>
      <c r="I1499" t="s">
        <v>32</v>
      </c>
      <c r="J1499" t="s">
        <v>3041</v>
      </c>
    </row>
    <row r="1500" spans="1:10" x14ac:dyDescent="0.3">
      <c r="A1500" t="s">
        <v>3042</v>
      </c>
      <c r="B1500" t="s">
        <v>19</v>
      </c>
      <c r="C1500" t="s">
        <v>28</v>
      </c>
      <c r="D1500">
        <v>1</v>
      </c>
      <c r="E1500">
        <v>14.02</v>
      </c>
      <c r="F1500" t="str">
        <f t="shared" si="46"/>
        <v>2025-01</v>
      </c>
      <c r="G1500">
        <f t="shared" si="47"/>
        <v>14.02</v>
      </c>
      <c r="H1500" s="2">
        <v>45664.857630524908</v>
      </c>
      <c r="I1500" t="s">
        <v>35</v>
      </c>
      <c r="J1500" t="s">
        <v>3043</v>
      </c>
    </row>
    <row r="1501" spans="1:10" x14ac:dyDescent="0.3">
      <c r="A1501" t="s">
        <v>3044</v>
      </c>
      <c r="B1501" t="s">
        <v>19</v>
      </c>
      <c r="C1501" t="s">
        <v>28</v>
      </c>
      <c r="D1501">
        <v>5</v>
      </c>
      <c r="E1501">
        <v>12.27</v>
      </c>
      <c r="F1501" t="str">
        <f t="shared" si="46"/>
        <v>2025-02</v>
      </c>
      <c r="G1501">
        <f t="shared" si="47"/>
        <v>61.349999999999994</v>
      </c>
      <c r="H1501" s="2">
        <v>45714.857630524908</v>
      </c>
      <c r="I1501" t="s">
        <v>32</v>
      </c>
      <c r="J1501" t="s">
        <v>3045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9BB7-9905-4326-8352-235B858C858E}">
  <dimension ref="A3:B17"/>
  <sheetViews>
    <sheetView topLeftCell="A13" workbookViewId="0">
      <selection activeCell="B3" sqref="B3"/>
    </sheetView>
  </sheetViews>
  <sheetFormatPr defaultRowHeight="14.4" x14ac:dyDescent="0.3"/>
  <cols>
    <col min="1" max="1" width="13.109375" bestFit="1" customWidth="1"/>
    <col min="2" max="2" width="15.5546875" bestFit="1" customWidth="1"/>
  </cols>
  <sheetData>
    <row r="3" spans="1:2" x14ac:dyDescent="0.3">
      <c r="A3" s="3" t="s">
        <v>0</v>
      </c>
      <c r="B3" t="s">
        <v>1</v>
      </c>
    </row>
    <row r="4" spans="1:2" x14ac:dyDescent="0.3">
      <c r="A4" s="4" t="s">
        <v>2</v>
      </c>
      <c r="B4">
        <v>9023.1500000000015</v>
      </c>
    </row>
    <row r="5" spans="1:2" x14ac:dyDescent="0.3">
      <c r="A5" s="4" t="s">
        <v>3</v>
      </c>
      <c r="B5">
        <v>15324.619999999997</v>
      </c>
    </row>
    <row r="6" spans="1:2" x14ac:dyDescent="0.3">
      <c r="A6" s="4" t="s">
        <v>4</v>
      </c>
      <c r="B6">
        <v>12740.519999999999</v>
      </c>
    </row>
    <row r="7" spans="1:2" x14ac:dyDescent="0.3">
      <c r="A7" s="4" t="s">
        <v>5</v>
      </c>
      <c r="B7">
        <v>11666.499999999998</v>
      </c>
    </row>
    <row r="8" spans="1:2" x14ac:dyDescent="0.3">
      <c r="A8" s="4" t="s">
        <v>6</v>
      </c>
      <c r="B8">
        <v>12064.189999999997</v>
      </c>
    </row>
    <row r="9" spans="1:2" x14ac:dyDescent="0.3">
      <c r="A9" s="4" t="s">
        <v>7</v>
      </c>
      <c r="B9">
        <v>12274.839999999995</v>
      </c>
    </row>
    <row r="10" spans="1:2" x14ac:dyDescent="0.3">
      <c r="A10" s="4" t="s">
        <v>8</v>
      </c>
      <c r="B10">
        <v>12426.109999999993</v>
      </c>
    </row>
    <row r="11" spans="1:2" x14ac:dyDescent="0.3">
      <c r="A11" s="4" t="s">
        <v>9</v>
      </c>
      <c r="B11">
        <v>13302.830000000005</v>
      </c>
    </row>
    <row r="12" spans="1:2" x14ac:dyDescent="0.3">
      <c r="A12" s="4" t="s">
        <v>10</v>
      </c>
      <c r="B12">
        <v>12203.150000000003</v>
      </c>
    </row>
    <row r="13" spans="1:2" x14ac:dyDescent="0.3">
      <c r="A13" s="4" t="s">
        <v>11</v>
      </c>
      <c r="B13">
        <v>12901.800000000001</v>
      </c>
    </row>
    <row r="14" spans="1:2" x14ac:dyDescent="0.3">
      <c r="A14" s="4" t="s">
        <v>12</v>
      </c>
      <c r="B14">
        <v>14062.57</v>
      </c>
    </row>
    <row r="15" spans="1:2" x14ac:dyDescent="0.3">
      <c r="A15" s="4" t="s">
        <v>13</v>
      </c>
      <c r="B15">
        <v>14908.239999999998</v>
      </c>
    </row>
    <row r="16" spans="1:2" x14ac:dyDescent="0.3">
      <c r="A16" s="4" t="s">
        <v>14</v>
      </c>
      <c r="B16">
        <v>939.26</v>
      </c>
    </row>
    <row r="17" spans="1:2" x14ac:dyDescent="0.3">
      <c r="A17" s="4" t="s">
        <v>15</v>
      </c>
      <c r="B17">
        <v>153837.77999999997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26A9A-1EC8-4885-8805-E392851D5162}">
  <dimension ref="A3:B16"/>
  <sheetViews>
    <sheetView topLeftCell="A16" workbookViewId="0">
      <selection activeCell="B4" sqref="B4"/>
    </sheetView>
  </sheetViews>
  <sheetFormatPr defaultRowHeight="14.4" x14ac:dyDescent="0.3"/>
  <cols>
    <col min="1" max="1" width="18.5546875" bestFit="1" customWidth="1"/>
    <col min="2" max="2" width="15.5546875" bestFit="1" customWidth="1"/>
  </cols>
  <sheetData>
    <row r="3" spans="1:2" x14ac:dyDescent="0.3">
      <c r="A3" s="3" t="s">
        <v>0</v>
      </c>
      <c r="B3" t="s">
        <v>1</v>
      </c>
    </row>
    <row r="4" spans="1:2" x14ac:dyDescent="0.3">
      <c r="A4" s="4" t="s">
        <v>16</v>
      </c>
      <c r="B4">
        <v>18812.060000000001</v>
      </c>
    </row>
    <row r="5" spans="1:2" x14ac:dyDescent="0.3">
      <c r="A5" s="4" t="s">
        <v>17</v>
      </c>
      <c r="B5">
        <v>17401.660000000003</v>
      </c>
    </row>
    <row r="6" spans="1:2" x14ac:dyDescent="0.3">
      <c r="A6" s="4" t="s">
        <v>18</v>
      </c>
      <c r="B6">
        <v>16244.369999999994</v>
      </c>
    </row>
    <row r="7" spans="1:2" x14ac:dyDescent="0.3">
      <c r="A7" s="4" t="s">
        <v>19</v>
      </c>
      <c r="B7">
        <v>13271.050000000008</v>
      </c>
    </row>
    <row r="8" spans="1:2" x14ac:dyDescent="0.3">
      <c r="A8" s="4" t="s">
        <v>20</v>
      </c>
      <c r="B8">
        <v>12582.309999999998</v>
      </c>
    </row>
    <row r="9" spans="1:2" x14ac:dyDescent="0.3">
      <c r="A9" s="4" t="s">
        <v>21</v>
      </c>
      <c r="B9">
        <v>12038</v>
      </c>
    </row>
    <row r="10" spans="1:2" x14ac:dyDescent="0.3">
      <c r="A10" s="4" t="s">
        <v>22</v>
      </c>
      <c r="B10">
        <v>11895.12</v>
      </c>
    </row>
    <row r="11" spans="1:2" x14ac:dyDescent="0.3">
      <c r="A11" s="4" t="s">
        <v>23</v>
      </c>
      <c r="B11">
        <v>11173.379999999996</v>
      </c>
    </row>
    <row r="12" spans="1:2" x14ac:dyDescent="0.3">
      <c r="A12" s="4" t="s">
        <v>24</v>
      </c>
      <c r="B12">
        <v>10325.110000000002</v>
      </c>
    </row>
    <row r="13" spans="1:2" x14ac:dyDescent="0.3">
      <c r="A13" s="4" t="s">
        <v>25</v>
      </c>
      <c r="B13">
        <v>10096.340000000004</v>
      </c>
    </row>
    <row r="14" spans="1:2" x14ac:dyDescent="0.3">
      <c r="A14" s="4" t="s">
        <v>26</v>
      </c>
      <c r="B14">
        <v>10028.000000000004</v>
      </c>
    </row>
    <row r="15" spans="1:2" x14ac:dyDescent="0.3">
      <c r="A15" s="4" t="s">
        <v>27</v>
      </c>
      <c r="B15">
        <v>9970.3799999999956</v>
      </c>
    </row>
    <row r="16" spans="1:2" x14ac:dyDescent="0.3">
      <c r="A16" s="4" t="s">
        <v>15</v>
      </c>
      <c r="B16">
        <v>153837.78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C040-234C-42B1-909B-B08808045A56}">
  <dimension ref="A3:B7"/>
  <sheetViews>
    <sheetView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5.5546875" bestFit="1" customWidth="1"/>
  </cols>
  <sheetData>
    <row r="3" spans="1:2" x14ac:dyDescent="0.3">
      <c r="A3" s="3" t="s">
        <v>0</v>
      </c>
      <c r="B3" t="s">
        <v>1</v>
      </c>
    </row>
    <row r="4" spans="1:2" x14ac:dyDescent="0.3">
      <c r="A4" s="4" t="s">
        <v>28</v>
      </c>
      <c r="B4">
        <v>54767.919999999955</v>
      </c>
    </row>
    <row r="5" spans="1:2" x14ac:dyDescent="0.3">
      <c r="A5" s="4" t="s">
        <v>29</v>
      </c>
      <c r="B5">
        <v>52458.089999999989</v>
      </c>
    </row>
    <row r="6" spans="1:2" x14ac:dyDescent="0.3">
      <c r="A6" s="4" t="s">
        <v>30</v>
      </c>
      <c r="B6">
        <v>46611.770000000004</v>
      </c>
    </row>
    <row r="7" spans="1:2" x14ac:dyDescent="0.3">
      <c r="A7" s="4" t="s">
        <v>15</v>
      </c>
      <c r="B7">
        <v>153837.77999999997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4DB58-0801-495C-99ED-6591EC20B475}">
  <dimension ref="A3:B9"/>
  <sheetViews>
    <sheetView workbookViewId="0">
      <selection activeCell="B4" sqref="B4"/>
    </sheetView>
  </sheetViews>
  <sheetFormatPr defaultRowHeight="14.4" x14ac:dyDescent="0.3"/>
  <cols>
    <col min="1" max="1" width="13.109375" bestFit="1" customWidth="1"/>
    <col min="2" max="2" width="15.5546875" bestFit="1" customWidth="1"/>
  </cols>
  <sheetData>
    <row r="3" spans="1:2" x14ac:dyDescent="0.3">
      <c r="A3" s="3" t="s">
        <v>0</v>
      </c>
      <c r="B3" t="s">
        <v>1</v>
      </c>
    </row>
    <row r="4" spans="1:2" x14ac:dyDescent="0.3">
      <c r="A4" s="4" t="s">
        <v>31</v>
      </c>
      <c r="B4">
        <v>34311.829999999958</v>
      </c>
    </row>
    <row r="5" spans="1:2" x14ac:dyDescent="0.3">
      <c r="A5" s="4" t="s">
        <v>32</v>
      </c>
      <c r="B5">
        <v>31150.850000000002</v>
      </c>
    </row>
    <row r="6" spans="1:2" x14ac:dyDescent="0.3">
      <c r="A6" s="4" t="s">
        <v>33</v>
      </c>
      <c r="B6">
        <v>30316.43</v>
      </c>
    </row>
    <row r="7" spans="1:2" x14ac:dyDescent="0.3">
      <c r="A7" s="4" t="s">
        <v>34</v>
      </c>
      <c r="B7">
        <v>29831.159999999989</v>
      </c>
    </row>
    <row r="8" spans="1:2" x14ac:dyDescent="0.3">
      <c r="A8" s="4" t="s">
        <v>35</v>
      </c>
      <c r="B8">
        <v>28227.51</v>
      </c>
    </row>
    <row r="9" spans="1:2" x14ac:dyDescent="0.3">
      <c r="A9" s="4" t="s">
        <v>15</v>
      </c>
      <c r="B9">
        <v>153837.77999999994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58CE5-EAE3-456C-83D4-7BC906945A38}">
  <dimension ref="A3:B24"/>
  <sheetViews>
    <sheetView tabSelected="1" topLeftCell="A16" workbookViewId="0">
      <selection activeCell="A3" sqref="A3"/>
    </sheetView>
  </sheetViews>
  <sheetFormatPr defaultRowHeight="14.4" x14ac:dyDescent="0.3"/>
  <cols>
    <col min="1" max="1" width="13.5546875" bestFit="1" customWidth="1"/>
    <col min="2" max="2" width="15.5546875" bestFit="1" customWidth="1"/>
  </cols>
  <sheetData>
    <row r="3" spans="1:2" x14ac:dyDescent="0.3">
      <c r="A3" s="3" t="s">
        <v>0</v>
      </c>
      <c r="B3" t="s">
        <v>1</v>
      </c>
    </row>
    <row r="4" spans="1:2" x14ac:dyDescent="0.3">
      <c r="A4" s="4" t="s">
        <v>31</v>
      </c>
      <c r="B4">
        <v>34311.829999999994</v>
      </c>
    </row>
    <row r="5" spans="1:2" x14ac:dyDescent="0.3">
      <c r="A5" s="5" t="s">
        <v>28</v>
      </c>
      <c r="B5">
        <v>10790.860000000002</v>
      </c>
    </row>
    <row r="6" spans="1:2" x14ac:dyDescent="0.3">
      <c r="A6" s="5" t="s">
        <v>29</v>
      </c>
      <c r="B6">
        <v>11814.579999999994</v>
      </c>
    </row>
    <row r="7" spans="1:2" x14ac:dyDescent="0.3">
      <c r="A7" s="5" t="s">
        <v>30</v>
      </c>
      <c r="B7">
        <v>11706.390000000001</v>
      </c>
    </row>
    <row r="8" spans="1:2" x14ac:dyDescent="0.3">
      <c r="A8" s="4" t="s">
        <v>32</v>
      </c>
      <c r="B8">
        <v>31150.85</v>
      </c>
    </row>
    <row r="9" spans="1:2" x14ac:dyDescent="0.3">
      <c r="A9" s="5" t="s">
        <v>28</v>
      </c>
      <c r="B9">
        <v>10857.66</v>
      </c>
    </row>
    <row r="10" spans="1:2" x14ac:dyDescent="0.3">
      <c r="A10" s="5" t="s">
        <v>29</v>
      </c>
      <c r="B10">
        <v>10966.62</v>
      </c>
    </row>
    <row r="11" spans="1:2" x14ac:dyDescent="0.3">
      <c r="A11" s="5" t="s">
        <v>30</v>
      </c>
      <c r="B11">
        <v>9326.5699999999979</v>
      </c>
    </row>
    <row r="12" spans="1:2" x14ac:dyDescent="0.3">
      <c r="A12" s="4" t="s">
        <v>34</v>
      </c>
      <c r="B12">
        <v>29831.160000000003</v>
      </c>
    </row>
    <row r="13" spans="1:2" x14ac:dyDescent="0.3">
      <c r="A13" s="5" t="s">
        <v>28</v>
      </c>
      <c r="B13">
        <v>11872.290000000003</v>
      </c>
    </row>
    <row r="14" spans="1:2" x14ac:dyDescent="0.3">
      <c r="A14" s="5" t="s">
        <v>29</v>
      </c>
      <c r="B14">
        <v>9679.2599999999984</v>
      </c>
    </row>
    <row r="15" spans="1:2" x14ac:dyDescent="0.3">
      <c r="A15" s="5" t="s">
        <v>30</v>
      </c>
      <c r="B15">
        <v>8279.6099999999988</v>
      </c>
    </row>
    <row r="16" spans="1:2" x14ac:dyDescent="0.3">
      <c r="A16" s="4" t="s">
        <v>35</v>
      </c>
      <c r="B16">
        <v>28227.510000000002</v>
      </c>
    </row>
    <row r="17" spans="1:2" x14ac:dyDescent="0.3">
      <c r="A17" s="5" t="s">
        <v>28</v>
      </c>
      <c r="B17">
        <v>11433.57</v>
      </c>
    </row>
    <row r="18" spans="1:2" x14ac:dyDescent="0.3">
      <c r="A18" s="5" t="s">
        <v>29</v>
      </c>
      <c r="B18">
        <v>8623.84</v>
      </c>
    </row>
    <row r="19" spans="1:2" x14ac:dyDescent="0.3">
      <c r="A19" s="5" t="s">
        <v>30</v>
      </c>
      <c r="B19">
        <v>8170.1000000000013</v>
      </c>
    </row>
    <row r="20" spans="1:2" x14ac:dyDescent="0.3">
      <c r="A20" s="4" t="s">
        <v>33</v>
      </c>
      <c r="B20">
        <v>30316.43</v>
      </c>
    </row>
    <row r="21" spans="1:2" x14ac:dyDescent="0.3">
      <c r="A21" s="5" t="s">
        <v>28</v>
      </c>
      <c r="B21">
        <v>9813.5400000000009</v>
      </c>
    </row>
    <row r="22" spans="1:2" x14ac:dyDescent="0.3">
      <c r="A22" s="5" t="s">
        <v>29</v>
      </c>
      <c r="B22">
        <v>11373.789999999997</v>
      </c>
    </row>
    <row r="23" spans="1:2" x14ac:dyDescent="0.3">
      <c r="A23" s="5" t="s">
        <v>30</v>
      </c>
      <c r="B23">
        <v>9129.1</v>
      </c>
    </row>
    <row r="24" spans="1:2" x14ac:dyDescent="0.3">
      <c r="A24" s="4" t="s">
        <v>15</v>
      </c>
      <c r="B24">
        <v>153837.78000000003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Sheet4</vt:lpstr>
      <vt:lpstr>Sheet5</vt:lpstr>
      <vt:lpstr>Sheet6</vt:lpstr>
      <vt:lpstr>Sheet7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Om Wagh</cp:lastModifiedBy>
  <cp:revision/>
  <dcterms:created xsi:type="dcterms:W3CDTF">2025-04-04T20:34:59Z</dcterms:created>
  <dcterms:modified xsi:type="dcterms:W3CDTF">2025-05-02T19:18:59Z</dcterms:modified>
  <cp:category/>
  <cp:contentStatus/>
</cp:coreProperties>
</file>